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757956f0404fd7" /></Relationships>
</file>

<file path=xl/workbook.xml><?xml version="1.0" encoding="utf-8"?>
<x:workbook xmlns:x="http://schemas.openxmlformats.org/spreadsheetml/2006/main">
  <x:sheets>
    <x:sheet xmlns:r="http://schemas.openxmlformats.org/officeDocument/2006/relationships" name="Dashboard" sheetId="1" r:id="Rc06d3290397748b7"/>
    <x:sheet xmlns:r="http://schemas.openxmlformats.org/officeDocument/2006/relationships" name="Programme" sheetId="2" r:id="Rcee39fde13754427"/>
    <x:sheet xmlns:r="http://schemas.openxmlformats.org/officeDocument/2006/relationships" name="Suivi" sheetId="3" r:id="R5aed6ed8726044a0"/>
    <x:sheet xmlns:r="http://schemas.openxmlformats.org/officeDocument/2006/relationships" name="Exercices" sheetId="4" r:id="Rfa176f3bcab94a3c"/>
    <x:sheet xmlns:r="http://schemas.openxmlformats.org/officeDocument/2006/relationships" name="Paramètres" sheetId="5" r:id="R06a2d1766aef4c7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1F2937"/>
      <x:name val="Carlito"/>
    </x:font>
    <x:font>
      <x:sz val="10"/>
      <x:color rgb="111827"/>
      <x:name val="Carlito"/>
    </x:font>
    <x:font>
      <x:b/>
      <x:sz val="16"/>
      <x:color rgb="1F2937"/>
      <x:name val="Carlito"/>
    </x:font>
    <x:font>
      <x:b/>
      <x:sz val="12"/>
      <x:color rgb="1F2937"/>
      <x:name val="Carlito"/>
    </x:font>
  </x:fonts>
  <x:fills count="2">
    <x:fill>
      <x:patternFill patternType="none"/>
    </x:fill>
    <x:fill>
      <x:patternFill patternType="gray125"/>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0" borderId="1" xfId="0" applyNumberFormat="1" applyFont="1" applyFill="0" applyBorder="1"/>
    <x:xf numFmtId="0" fontId="1" borderId="1" xfId="0" applyNumberFormat="1" applyFont="1" applyFill="0" applyBorder="1"/>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4" borderId="0" xfId="0" applyNumberFormat="1" applyFont="1" applyFill="0" applyBorder="1"/>
    <x:xf numFmtId="0" fontId="4" borderId="1" xfId="0" applyNumberFormat="1" applyFont="1" applyFill="0" applyBorder="1"/>
    <x:xf numFmtId="0" fontId="3" borderId="0" xfId="0" applyNumberFormat="1" applyFont="1" applyFill="0" applyBorder="1"/>
    <x:xf numFmtId="0" fontId="3" borderId="1" xfId="0" applyNumberFormat="1" applyFont="1" applyFill="0" applyBorder="1"/>
  </x:cellXfs>
  <x:cellStyles count="1">
    <x:cellStyle name="Normal" xfId="0"/>
  </x:cellStyles>
  <x:dxfs count="3">
    <x:dxf>
      <x:font>
        <x:b/>
        <x:color rgb="166534"/>
      </x:font>
    </x:dxf>
    <x:dxf>
      <x:font>
        <x:b/>
        <x:color rgb="854D0E"/>
      </x:font>
    </x:dxf>
    <x:dxf>
      <x:font>
        <x:b/>
        <x:color rgb="991B1B"/>
      </x:font>
    </x:dxf>
  </x:dxfs>
</x:styleSheet>
</file>

<file path=xl/_rels/workbook.xml.rels>&#65279;<?xml version="1.0" encoding="utf-8"?><Relationships xmlns="http://schemas.openxmlformats.org/package/2006/relationships"><Relationship Type="http://schemas.openxmlformats.org/officeDocument/2006/relationships/styles" Target="/xl/styles.xml" Id="Rc73fcc5239584d7d" /><Relationship Type="http://schemas.openxmlformats.org/officeDocument/2006/relationships/theme" Target="/xl/theme/theme1.xml" Id="R1db76550bfc24d13" /><Relationship Type="http://schemas.openxmlformats.org/officeDocument/2006/relationships/sharedStrings" Target="/xl/sharedStrings.xml" Id="Rc444998b3bc440b9" /><Relationship Type="http://schemas.openxmlformats.org/officeDocument/2006/relationships/worksheet" Target="/xl/worksheets/sheet1.xml" Id="Rc06d3290397748b7" /><Relationship Type="http://schemas.openxmlformats.org/officeDocument/2006/relationships/worksheet" Target="/xl/worksheets/sheet2.xml" Id="Rcee39fde13754427" /><Relationship Type="http://schemas.openxmlformats.org/officeDocument/2006/relationships/worksheet" Target="/xl/worksheets/sheet3.xml" Id="R5aed6ed8726044a0" /><Relationship Type="http://schemas.openxmlformats.org/officeDocument/2006/relationships/worksheet" Target="/xl/worksheets/sheet4.xml" Id="Rfa176f3bcab94a3c" /><Relationship Type="http://schemas.openxmlformats.org/officeDocument/2006/relationships/worksheet" Target="/xl/worksheets/sheet5.xml" Id="R06a2d1766aef4c75" /></Relationships>
</file>

<file path=xl/drawings/_rels/drawing1.xml.rels>&#65279;<?xml version="1.0" encoding="utf-8"?><Relationships xmlns="http://schemas.openxmlformats.org/package/2006/relationships"><Relationship Type="http://schemas.openxmlformats.org/officeDocument/2006/relationships/chart" Target="/xl/drawings/charts/chart1.xml" Id="Rb72652496eee466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Séries prévues par séance</a:t>
            </a:r>
          </a:p>
        </c:rich>
      </c:tx>
      <c:overlay val="0"/>
    </c:title>
    <c:autoTitleDeleted val="0"/>
    <c:view3D/>
    <c:plotArea>
      <c:layout/>
      <c:barChart>
        <c:barDir val="col"/>
        <c:grouping val="clustered"/>
        <c:varyColors val="0"/>
        <c:ser>
          <c:idx val="0"/>
          <c:order val="0"/>
          <c:tx>
            <c:v>Exercices</c:v>
          </c:tx>
          <c:cat>
            <c:strRef>
              <c:f>'Dashboard'!$D$5:$D$9</c:f>
              <c:strCache>
                <c:ptCount val="0"/>
              </c:strCache>
            </c:strRef>
          </c:cat>
          <c:val>
            <c:numRef>
              <c:f>'Dashboard'!$E$5:$E$9</c:f>
              <c:numCache>
                <c:formatCode/>
                <c:ptCount val="0"/>
              </c:numCache>
            </c:numRef>
          </c:val>
        </c:ser>
        <c:ser>
          <c:idx val="1"/>
          <c:order val="1"/>
          <c:tx>
            <c:v>Séries/semaine</c:v>
          </c:tx>
          <c:cat>
            <c:strRef>
              <c:f>'Dashboard'!$D$5:$D$9</c:f>
              <c:strCache>
                <c:ptCount val="0"/>
              </c:strCache>
            </c:strRef>
          </c:cat>
          <c:val>
            <c:numRef>
              <c:f>'Dashboard'!$F$5:$F$9</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2652496eee466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edfdec4726d4b62" /></Relationships>
</file>

<file path=xl/worksheets/sheet1.xml><?xml version="1.0" encoding="utf-8"?>
<x:worksheet xmlns:x="http://schemas.openxmlformats.org/spreadsheetml/2006/main">
  <x:sheetFormatPr defaultRowHeight="15"/>
  <x:cols>
    <x:col min="1" max="1" width="18" hidden="0" customWidth="1"/>
    <x:col min="2" max="2" width="32" hidden="0" customWidth="1"/>
    <x:col min="3" max="3" width="10" hidden="0" customWidth="1"/>
    <x:col min="4" max="4" width="20" hidden="0" customWidth="1"/>
    <x:col min="5" max="5" width="13" hidden="0" customWidth="1"/>
    <x:col min="6" max="6" width="14" hidden="0" customWidth="1"/>
    <x:col min="7" max="7" width="22" hidden="0" customWidth="1"/>
    <x:col min="8" max="8" width="30" hidden="0" customWidth="1"/>
  </x:cols>
  <x:sheetData>
    <x:row r="1" ht="19.53125" hidden="0" customHeight="1">
      <x:c r="A1" s="13" t="str">
        <x:v>Programme entraînement — Haltères + banc</x:v>
      </x:c>
      <x:c r="B1" s="13"/>
      <x:c r="C1" s="13"/>
      <x:c r="D1" s="13"/>
      <x:c r="E1" s="13"/>
      <x:c r="F1" s="13"/>
      <x:c r="G1" s="13"/>
      <x:c r="H1" s="13"/>
    </x:row>
    <x:row r="2"/>
    <x:row r="3" ht="15" hidden="0" customHeight="1">
      <x:c r="A3" s="11" t="str">
        <x:v>Objectif</x:v>
      </x:c>
      <x:c r="B3" s="6" t="str">
        <x:v>Hypertrophie + recomposition</x:v>
      </x:c>
      <x:c r="D3" s="11" t="str">
        <x:v>Synthèse volume par séance</x:v>
      </x:c>
      <x:c r="E3" s="11"/>
      <x:c r="F3" s="11"/>
      <x:c r="G3" s="11"/>
      <x:c r="H3" s="11"/>
    </x:row>
    <x:row r="4" ht="15" hidden="0" customHeight="1">
      <x:c r="A4" s="11" t="str">
        <x:v>Fréquence</x:v>
      </x:c>
      <x:c r="B4" s="6" t="str">
        <x:v>5 séances / semaine</x:v>
      </x:c>
      <x:c r="D4" s="3" t="str">
        <x:v>Séance</x:v>
      </x:c>
      <x:c r="E4" s="3" t="str">
        <x:v>Exercices</x:v>
      </x:c>
      <x:c r="F4" s="3" t="str">
        <x:v>Séries/semaine</x:v>
      </x:c>
      <x:c r="G4" s="3" t="str">
        <x:v>Focus</x:v>
      </x:c>
      <x:c r="H4" s="3" t="str">
        <x:v>Remarque</x:v>
      </x:c>
    </x:row>
    <x:row r="5" ht="15" hidden="0" customHeight="1">
      <x:c r="A5" s="11" t="str">
        <x:v>Durée séance</x:v>
      </x:c>
      <x:c r="B5" s="6" t="str">
        <x:v>≈ 40–60 min</x:v>
      </x:c>
      <x:c r="D5" s="6" t="str">
        <x:v>Push</x:v>
      </x:c>
      <x:c r="E5" s="6" t="n">
        <x:v>4</x:v>
      </x:c>
      <x:c r="F5" s="6" t="n">
        <x:v>14</x:v>
      </x:c>
      <x:c r="G5" s="6" t="str">
        <x:v>Pecs/épaules/triceps</x:v>
      </x:c>
      <x:c r="H5" s="6" t="str">
        <x:v>Séance lourde</x:v>
      </x:c>
    </x:row>
    <x:row r="6" ht="15" hidden="0" customHeight="1">
      <x:c r="A6" s="11" t="str">
        <x:v>Cycle</x:v>
      </x:c>
      <x:c r="B6" s="6" t="str">
        <x:v>8 semaines</x:v>
      </x:c>
      <x:c r="D6" s="6" t="str">
        <x:v>Pull</x:v>
      </x:c>
      <x:c r="E6" s="6" t="n">
        <x:v>4</x:v>
      </x:c>
      <x:c r="F6" s="6" t="n">
        <x:v>13</x:v>
      </x:c>
      <x:c r="G6" s="6" t="str">
        <x:v>Dos/biceps</x:v>
      </x:c>
      <x:c r="H6" s="6" t="str">
        <x:v>Rowing prioritaire</x:v>
      </x:c>
    </x:row>
    <x:row r="7" ht="15" hidden="0" customHeight="1">
      <x:c r="A7" s="11" t="str">
        <x:v>Début</x:v>
      </x:c>
      <x:c r="B7" s="6" t="str">
        <x:v>2026-04-27</x:v>
      </x:c>
      <x:c r="D7" s="6" t="str">
        <x:v>Jambes</x:v>
      </x:c>
      <x:c r="E7" s="6" t="n">
        <x:v>3</x:v>
      </x:c>
      <x:c r="F7" s="6" t="n">
        <x:v>10</x:v>
      </x:c>
      <x:c r="G7" s="6" t="str">
        <x:v>Quadriceps/fessiers/ischios</x:v>
      </x:c>
      <x:c r="H7" s="6" t="str">
        <x:v>Tempo lent</x:v>
      </x:c>
    </x:row>
    <x:row r="8" ht="15" hidden="0" customHeight="1">
      <x:c r="A8" s="11" t="str">
        <x:v>Priorités</x:v>
      </x:c>
      <x:c r="B8" s="6" t="str">
        <x:v>Rowing, développés, squat/fentes</x:v>
      </x:c>
      <x:c r="D8" s="6" t="str">
        <x:v>Haut du corps</x:v>
      </x:c>
      <x:c r="E8" s="6" t="n">
        <x:v>6</x:v>
      </x:c>
      <x:c r="F8" s="6" t="n">
        <x:v>17</x:v>
      </x:c>
      <x:c r="G8" s="6" t="str">
        <x:v>Rappel global</x:v>
      </x:c>
      <x:c r="H8" s="6" t="str">
        <x:v>Technique + volume</x:v>
      </x:c>
    </x:row>
    <x:row r="9" ht="15" hidden="0" customHeight="1">
      <x:c r="D9" s="6" t="str">
        <x:v>Bras + épaules</x:v>
      </x:c>
      <x:c r="E9" s="6" t="n">
        <x:v>5</x:v>
      </x:c>
      <x:c r="F9" s="6" t="n">
        <x:v>16</x:v>
      </x:c>
      <x:c r="G9" s="6" t="str">
        <x:v>Finition</x:v>
      </x:c>
      <x:c r="H9" s="6" t="str">
        <x:v>Repos courts</x:v>
      </x:c>
    </x:row>
    <x:row r="10"/>
    <x:row r="11" ht="15" hidden="0" customHeight="1">
      <x:c r="A11" s="11" t="str">
        <x:v>Règle de progression</x:v>
      </x:c>
      <x:c r="B11" s="11"/>
      <x:c r="C11" s="11"/>
      <x:c r="D11" s="11"/>
      <x:c r="E11" s="11"/>
      <x:c r="F11" s="11"/>
      <x:c r="G11" s="11"/>
      <x:c r="H11" s="11"/>
    </x:row>
    <x:row r="12" ht="15" hidden="0" customHeight="1">
      <x:c r="A12" t="str">
        <x:v>Dans l’onglet Suivi, remplis le poids et les reps de chaque série. Si toutes les séries atteignent l’objectif reps, la colonne Décision indique “Augmenter poids”. Sinon, conserve la charge et ajoute des reps progressivement.</x:v>
      </x:c>
      <x:c r="B12"/>
      <x:c r="C12"/>
      <x:c r="D12"/>
      <x:c r="E12"/>
      <x:c r="F12"/>
      <x:c r="G12"/>
      <x:c r="H12"/>
    </x:row>
    <x:row r="13">
      <x:c r="A13"/>
      <x:c r="B13"/>
      <x:c r="C13"/>
      <x:c r="D13"/>
      <x:c r="E13"/>
      <x:c r="F13"/>
      <x:c r="G13"/>
      <x:c r="H13"/>
    </x:row>
    <x:row r="14">
      <x:c r="A14"/>
      <x:c r="B14"/>
      <x:c r="C14"/>
      <x:c r="D14"/>
      <x:c r="E14"/>
      <x:c r="F14"/>
      <x:c r="G14"/>
      <x:c r="H14"/>
    </x:row>
    <x:row r="15"/>
    <x:row r="16"/>
    <x:row r="17"/>
    <x:row r="18"/>
    <x:row r="19"/>
    <x:row r="20"/>
    <x:row r="21"/>
    <x:row r="22"/>
    <x:row r="23"/>
    <x:row r="24"/>
    <x:row r="25"/>
    <x:row r="26"/>
    <x:row r="27"/>
    <x:row r="28"/>
    <x:row r="29"/>
    <x:row r="30"/>
    <x:row r="31"/>
  </x:sheetData>
  <x:pageMargins left="0.7" right="0.7" top="0.75" bottom="0.75" header="0.3" footer="0.3"/>
  <x:drawing xmlns:r="http://schemas.openxmlformats.org/officeDocument/2006/relationships" r:id="Rbedfdec4726d4b62"/>
</x:worksheet>
</file>

<file path=xl/worksheets/sheet2.xml><?xml version="1.0" encoding="utf-8"?>
<x:worksheet xmlns:x="http://schemas.openxmlformats.org/spreadsheetml/2006/main">
  <x:sheetFormatPr defaultRowHeight="15"/>
  <x:cols>
    <x:col min="1" max="1" width="13" hidden="0" customWidth="1"/>
    <x:col min="2" max="2" width="18" hidden="0" customWidth="1"/>
    <x:col min="3" max="3" width="34" hidden="0" customWidth="1"/>
    <x:col min="4" max="4" width="9" hidden="0" customWidth="1"/>
    <x:col min="5" max="5" width="14" hidden="0" customWidth="1"/>
    <x:col min="6" max="6" width="13" hidden="0" customWidth="1"/>
    <x:col min="7" max="7" width="12" hidden="0" customWidth="1"/>
    <x:col min="8" max="8" width="12" hidden="0" customWidth="1"/>
    <x:col min="9" max="9" width="42" hidden="0" customWidth="1"/>
  </x:cols>
  <x:sheetData>
    <x:row r="1" ht="15" hidden="0" customHeight="1">
      <x:c r="A1" s="3" t="str">
        <x:v>Jour</x:v>
      </x:c>
      <x:c r="B1" s="3" t="str">
        <x:v>Séance</x:v>
      </x:c>
      <x:c r="C1" s="3" t="str">
        <x:v>Exercice</x:v>
      </x:c>
      <x:c r="D1" s="3" t="str">
        <x:v>Séries</x:v>
      </x:c>
      <x:c r="E1" s="3" t="str">
        <x:v>Reps</x:v>
      </x:c>
      <x:c r="F1" s="3" t="str">
        <x:v>Objectif reps</x:v>
      </x:c>
      <x:c r="G1" s="3" t="str">
        <x:v>Repos</x:v>
      </x:c>
      <x:c r="H1" s="3" t="str">
        <x:v>Priorité</x:v>
      </x:c>
      <x:c r="I1" s="3" t="str">
        <x:v>Notes</x:v>
      </x:c>
    </x:row>
    <x:row r="2" ht="15" hidden="0" customHeight="1">
      <x:c r="A2" s="6" t="str">
        <x:v>Lundi</x:v>
      </x:c>
      <x:c r="B2" s="6" t="str">
        <x:v>Push</x:v>
      </x:c>
      <x:c r="C2" s="6" t="str">
        <x:v>Développé décliné haltères</x:v>
      </x:c>
      <x:c r="D2" s="6" t="n">
        <x:v>4</x:v>
      </x:c>
      <x:c r="E2" s="6" t="str">
        <x:v>6–10</x:v>
      </x:c>
      <x:c r="F2" s="6" t="n">
        <x:v>10</x:v>
      </x:c>
      <x:c r="G2" s="6" t="str">
        <x:v>90 s</x:v>
      </x:c>
      <x:c r="H2" s="6" t="str">
        <x:v>Haute</x:v>
      </x:c>
      <x:c r="I2" s="6" t="str">
        <x:v>Augmenter si 10 reps sur toutes les séries</x:v>
      </x:c>
    </x:row>
    <x:row r="3" ht="15" hidden="0" customHeight="1">
      <x:c r="A3" s="6" t="str">
        <x:v>Lundi</x:v>
      </x:c>
      <x:c r="B3" s="6" t="str">
        <x:v>Push</x:v>
      </x:c>
      <x:c r="C3" s="6" t="str">
        <x:v>Développé militaire haltères</x:v>
      </x:c>
      <x:c r="D3" s="6" t="n">
        <x:v>4</x:v>
      </x:c>
      <x:c r="E3" s="6" t="str">
        <x:v>6–10</x:v>
      </x:c>
      <x:c r="F3" s="6" t="n">
        <x:v>10</x:v>
      </x:c>
      <x:c r="G3" s="6" t="str">
        <x:v>90 s</x:v>
      </x:c>
      <x:c r="H3" s="6" t="str">
        <x:v>Haute</x:v>
      </x:c>
      <x:c r="I3" s="6" t="str">
        <x:v>Gainage strict</x:v>
      </x:c>
    </x:row>
    <x:row r="4" ht="15" hidden="0" customHeight="1">
      <x:c r="A4" s="6" t="str">
        <x:v>Lundi</x:v>
      </x:c>
      <x:c r="B4" s="6" t="str">
        <x:v>Push</x:v>
      </x:c>
      <x:c r="C4" s="6" t="str">
        <x:v>Élévations latérales inclinées</x:v>
      </x:c>
      <x:c r="D4" s="6" t="n">
        <x:v>3</x:v>
      </x:c>
      <x:c r="E4" s="6" t="str">
        <x:v>12–15</x:v>
      </x:c>
      <x:c r="F4" s="6" t="n">
        <x:v>15</x:v>
      </x:c>
      <x:c r="G4" s="6" t="str">
        <x:v>60 s</x:v>
      </x:c>
      <x:c r="H4" s="6" t="str">
        <x:v>Moyenne</x:v>
      </x:c>
      <x:c r="I4" s="6" t="str">
        <x:v>Strict, léger</x:v>
      </x:c>
    </x:row>
    <x:row r="5" ht="15" hidden="0" customHeight="1">
      <x:c r="A5" s="6" t="str">
        <x:v>Lundi</x:v>
      </x:c>
      <x:c r="B5" s="6" t="str">
        <x:v>Push</x:v>
      </x:c>
      <x:c r="C5" s="6" t="str">
        <x:v>Extension triceps au front haltère</x:v>
      </x:c>
      <x:c r="D5" s="6" t="n">
        <x:v>3</x:v>
      </x:c>
      <x:c r="E5" s="6" t="str">
        <x:v>10–15</x:v>
      </x:c>
      <x:c r="F5" s="6" t="n">
        <x:v>15</x:v>
      </x:c>
      <x:c r="G5" s="6" t="str">
        <x:v>60 s</x:v>
      </x:c>
      <x:c r="H5" s="6" t="str">
        <x:v>Moyenne</x:v>
      </x:c>
      <x:c r="I5" s="6" t="str">
        <x:v>Amplitude propre</x:v>
      </x:c>
    </x:row>
    <x:row r="6" ht="15" hidden="0" customHeight="1">
      <x:c r="A6" s="6" t="str">
        <x:v>Mardi</x:v>
      </x:c>
      <x:c r="B6" s="6" t="str">
        <x:v>Pull</x:v>
      </x:c>
      <x:c r="C6" s="6" t="str">
        <x:v>Rowing haltère</x:v>
      </x:c>
      <x:c r="D6" s="6" t="n">
        <x:v>4</x:v>
      </x:c>
      <x:c r="E6" s="6" t="str">
        <x:v>8–12</x:v>
      </x:c>
      <x:c r="F6" s="6" t="n">
        <x:v>12</x:v>
      </x:c>
      <x:c r="G6" s="6" t="str">
        <x:v>90–120 s</x:v>
      </x:c>
      <x:c r="H6" s="6" t="str">
        <x:v>Haute</x:v>
      </x:c>
      <x:c r="I6" s="6" t="str">
        <x:v>Priorité progression</x:v>
      </x:c>
    </x:row>
    <x:row r="7" ht="15" hidden="0" customHeight="1">
      <x:c r="A7" s="6" t="str">
        <x:v>Mardi</x:v>
      </x:c>
      <x:c r="B7" s="6" t="str">
        <x:v>Pull</x:v>
      </x:c>
      <x:c r="C7" s="6" t="str">
        <x:v>Pec deck inversé / oiseau haltères</x:v>
      </x:c>
      <x:c r="D7" s="6" t="n">
        <x:v>3</x:v>
      </x:c>
      <x:c r="E7" s="6" t="str">
        <x:v>12–15</x:v>
      </x:c>
      <x:c r="F7" s="6" t="n">
        <x:v>15</x:v>
      </x:c>
      <x:c r="G7" s="6" t="str">
        <x:v>60 s</x:v>
      </x:c>
      <x:c r="H7" s="6" t="str">
        <x:v>Moyenne</x:v>
      </x:c>
      <x:c r="I7" s="6" t="str">
        <x:v>Focus deltoïde postérieur</x:v>
      </x:c>
    </x:row>
    <x:row r="8" ht="15" hidden="0" customHeight="1">
      <x:c r="A8" s="6" t="str">
        <x:v>Mardi</x:v>
      </x:c>
      <x:c r="B8" s="6" t="str">
        <x:v>Pull</x:v>
      </x:c>
      <x:c r="C8" s="6" t="str">
        <x:v>Curl incliné haltères</x:v>
      </x:c>
      <x:c r="D8" s="6" t="n">
        <x:v>3</x:v>
      </x:c>
      <x:c r="E8" s="6" t="str">
        <x:v>10–12</x:v>
      </x:c>
      <x:c r="F8" s="6" t="n">
        <x:v>12</x:v>
      </x:c>
      <x:c r="G8" s="6" t="str">
        <x:v>60–75 s</x:v>
      </x:c>
      <x:c r="H8" s="6" t="str">
        <x:v>Moyenne</x:v>
      </x:c>
      <x:c r="I8" s="6" t="str">
        <x:v>Étirement</x:v>
      </x:c>
    </x:row>
    <x:row r="9" ht="15" hidden="0" customHeight="1">
      <x:c r="A9" s="6" t="str">
        <x:v>Mardi</x:v>
      </x:c>
      <x:c r="B9" s="6" t="str">
        <x:v>Pull</x:v>
      </x:c>
      <x:c r="C9" s="6" t="str">
        <x:v>Spider curl haltères</x:v>
      </x:c>
      <x:c r="D9" s="6" t="n">
        <x:v>3</x:v>
      </x:c>
      <x:c r="E9" s="6" t="str">
        <x:v>10–12</x:v>
      </x:c>
      <x:c r="F9" s="6" t="n">
        <x:v>12</x:v>
      </x:c>
      <x:c r="G9" s="6" t="str">
        <x:v>60–75 s</x:v>
      </x:c>
      <x:c r="H9" s="6" t="str">
        <x:v>Moyenne</x:v>
      </x:c>
      <x:c r="I9" s="6" t="str">
        <x:v>Contrôle</x:v>
      </x:c>
    </x:row>
    <x:row r="10" ht="15" hidden="0" customHeight="1">
      <x:c r="A10" s="6" t="str">
        <x:v>Mercredi</x:v>
      </x:c>
      <x:c r="B10" s="6" t="str">
        <x:v>Jambes</x:v>
      </x:c>
      <x:c r="C10" s="6" t="str">
        <x:v>Goblet squat</x:v>
      </x:c>
      <x:c r="D10" s="6" t="n">
        <x:v>4</x:v>
      </x:c>
      <x:c r="E10" s="6" t="str">
        <x:v>10–20</x:v>
      </x:c>
      <x:c r="F10" s="6" t="n">
        <x:v>20</x:v>
      </x:c>
      <x:c r="G10" s="6" t="str">
        <x:v>90 s</x:v>
      </x:c>
      <x:c r="H10" s="6" t="str">
        <x:v>Haute</x:v>
      </x:c>
      <x:c r="I10" s="6" t="str">
        <x:v>Tempo lent 3 sec descente</x:v>
      </x:c>
    </x:row>
    <x:row r="11" ht="15" hidden="0" customHeight="1">
      <x:c r="A11" s="6" t="str">
        <x:v>Mercredi</x:v>
      </x:c>
      <x:c r="B11" s="6" t="str">
        <x:v>Jambes</x:v>
      </x:c>
      <x:c r="C11" s="6" t="str">
        <x:v>Fentes haltères</x:v>
      </x:c>
      <x:c r="D11" s="6" t="n">
        <x:v>3</x:v>
      </x:c>
      <x:c r="E11" s="6" t="str">
        <x:v>10–15 / jambe</x:v>
      </x:c>
      <x:c r="F11" s="6" t="n">
        <x:v>15</x:v>
      </x:c>
      <x:c r="G11" s="6" t="str">
        <x:v>90 s</x:v>
      </x:c>
      <x:c r="H11" s="6" t="str">
        <x:v>Haute</x:v>
      </x:c>
      <x:c r="I11" s="6" t="str">
        <x:v>Reps par jambe</x:v>
      </x:c>
    </x:row>
    <x:row r="12" ht="15" hidden="0" customHeight="1">
      <x:c r="A12" s="6" t="str">
        <x:v>Mercredi</x:v>
      </x:c>
      <x:c r="B12" s="6" t="str">
        <x:v>Jambes</x:v>
      </x:c>
      <x:c r="C12" s="6" t="str">
        <x:v>Soulevé de terre jambes tendues haltères</x:v>
      </x:c>
      <x:c r="D12" s="6" t="n">
        <x:v>3</x:v>
      </x:c>
      <x:c r="E12" s="6" t="str">
        <x:v>10–15</x:v>
      </x:c>
      <x:c r="F12" s="6" t="n">
        <x:v>15</x:v>
      </x:c>
      <x:c r="G12" s="6" t="str">
        <x:v>90 s</x:v>
      </x:c>
      <x:c r="H12" s="6" t="str">
        <x:v>Option</x:v>
      </x:c>
      <x:c r="I12" s="6" t="str">
        <x:v>À faire si temps/énergie OK</x:v>
      </x:c>
    </x:row>
    <x:row r="13" ht="15" hidden="0" customHeight="1">
      <x:c r="A13" s="6" t="str">
        <x:v>Vendredi</x:v>
      </x:c>
      <x:c r="B13" s="6" t="str">
        <x:v>Haut du corps</x:v>
      </x:c>
      <x:c r="C13" s="6" t="str">
        <x:v>Rowing haltère</x:v>
      </x:c>
      <x:c r="D13" s="6" t="n">
        <x:v>3</x:v>
      </x:c>
      <x:c r="E13" s="6" t="str">
        <x:v>8–12</x:v>
      </x:c>
      <x:c r="F13" s="6" t="n">
        <x:v>12</x:v>
      </x:c>
      <x:c r="G13" s="6" t="str">
        <x:v>90 s</x:v>
      </x:c>
      <x:c r="H13" s="6" t="str">
        <x:v>Haute</x:v>
      </x:c>
      <x:c r="I13" s="6" t="str">
        <x:v>Volume technique</x:v>
      </x:c>
    </x:row>
    <x:row r="14" ht="15" hidden="0" customHeight="1">
      <x:c r="A14" s="6" t="str">
        <x:v>Vendredi</x:v>
      </x:c>
      <x:c r="B14" s="6" t="str">
        <x:v>Haut du corps</x:v>
      </x:c>
      <x:c r="C14" s="6" t="str">
        <x:v>Développé décliné haltères</x:v>
      </x:c>
      <x:c r="D14" s="6" t="n">
        <x:v>3</x:v>
      </x:c>
      <x:c r="E14" s="6" t="str">
        <x:v>8–12</x:v>
      </x:c>
      <x:c r="F14" s="6" t="n">
        <x:v>12</x:v>
      </x:c>
      <x:c r="G14" s="6" t="str">
        <x:v>90 s</x:v>
      </x:c>
      <x:c r="H14" s="6" t="str">
        <x:v>Haute</x:v>
      </x:c>
      <x:c r="I14" s="6" t="str">
        <x:v>Contrôle</x:v>
      </x:c>
    </x:row>
    <x:row r="15" ht="15" hidden="0" customHeight="1">
      <x:c r="A15" s="6" t="str">
        <x:v>Vendredi</x:v>
      </x:c>
      <x:c r="B15" s="6" t="str">
        <x:v>Haut du corps</x:v>
      </x:c>
      <x:c r="C15" s="6" t="str">
        <x:v>Développé militaire haltères</x:v>
      </x:c>
      <x:c r="D15" s="6" t="n">
        <x:v>3</x:v>
      </x:c>
      <x:c r="E15" s="6" t="str">
        <x:v>8–12</x:v>
      </x:c>
      <x:c r="F15" s="6" t="n">
        <x:v>12</x:v>
      </x:c>
      <x:c r="G15" s="6" t="str">
        <x:v>90 s</x:v>
      </x:c>
      <x:c r="H15" s="6" t="str">
        <x:v>Moyenne</x:v>
      </x:c>
      <x:c r="I15" s="6" t="str">
        <x:v>Plus léger que lundi si fatigue</x:v>
      </x:c>
    </x:row>
    <x:row r="16" ht="15" hidden="0" customHeight="1">
      <x:c r="A16" s="6" t="str">
        <x:v>Vendredi</x:v>
      </x:c>
      <x:c r="B16" s="6" t="str">
        <x:v>Haut du corps</x:v>
      </x:c>
      <x:c r="C16" s="6" t="str">
        <x:v>Élévations latérales inclinées</x:v>
      </x:c>
      <x:c r="D16" s="6" t="n">
        <x:v>3</x:v>
      </x:c>
      <x:c r="E16" s="6" t="str">
        <x:v>12–15</x:v>
      </x:c>
      <x:c r="F16" s="6" t="n">
        <x:v>15</x:v>
      </x:c>
      <x:c r="G16" s="6" t="str">
        <x:v>60 s</x:v>
      </x:c>
      <x:c r="H16" s="6" t="str">
        <x:v>Moyenne</x:v>
      </x:c>
      <x:c r="I16" s="6" t="str">
        <x:v>Congestion</x:v>
      </x:c>
    </x:row>
    <x:row r="17" ht="15" hidden="0" customHeight="1">
      <x:c r="A17" s="6" t="str">
        <x:v>Vendredi</x:v>
      </x:c>
      <x:c r="B17" s="6" t="str">
        <x:v>Haut du corps</x:v>
      </x:c>
      <x:c r="C17" s="6" t="str">
        <x:v>Curl incliné haltères</x:v>
      </x:c>
      <x:c r="D17" s="6" t="n">
        <x:v>2</x:v>
      </x:c>
      <x:c r="E17" s="6" t="str">
        <x:v>10–12</x:v>
      </x:c>
      <x:c r="F17" s="6" t="n">
        <x:v>12</x:v>
      </x:c>
      <x:c r="G17" s="6" t="str">
        <x:v>60 s</x:v>
      </x:c>
      <x:c r="H17" s="6" t="str">
        <x:v>Basse</x:v>
      </x:c>
      <x:c r="I17" s="6" t="str">
        <x:v>Rappel</x:v>
      </x:c>
    </x:row>
    <x:row r="18" ht="15" hidden="0" customHeight="1">
      <x:c r="A18" s="6" t="str">
        <x:v>Vendredi</x:v>
      </x:c>
      <x:c r="B18" s="6" t="str">
        <x:v>Haut du corps</x:v>
      </x:c>
      <x:c r="C18" s="6" t="str">
        <x:v>Extension triceps au front haltère</x:v>
      </x:c>
      <x:c r="D18" s="6" t="n">
        <x:v>2</x:v>
      </x:c>
      <x:c r="E18" s="6" t="str">
        <x:v>10–15</x:v>
      </x:c>
      <x:c r="F18" s="6" t="n">
        <x:v>15</x:v>
      </x:c>
      <x:c r="G18" s="6" t="str">
        <x:v>60 s</x:v>
      </x:c>
      <x:c r="H18" s="6" t="str">
        <x:v>Basse</x:v>
      </x:c>
      <x:c r="I18" s="6" t="str">
        <x:v>Rappel</x:v>
      </x:c>
    </x:row>
    <x:row r="19" ht="15" hidden="0" customHeight="1">
      <x:c r="A19" s="6" t="str">
        <x:v>Samedi</x:v>
      </x:c>
      <x:c r="B19" s="6" t="str">
        <x:v>Bras + épaules</x:v>
      </x:c>
      <x:c r="C19" s="6" t="str">
        <x:v>Élévations latérales inclinées</x:v>
      </x:c>
      <x:c r="D19" s="6" t="n">
        <x:v>4</x:v>
      </x:c>
      <x:c r="E19" s="6" t="str">
        <x:v>12–20</x:v>
      </x:c>
      <x:c r="F19" s="6" t="n">
        <x:v>20</x:v>
      </x:c>
      <x:c r="G19" s="6" t="str">
        <x:v>60 s</x:v>
      </x:c>
      <x:c r="H19" s="6" t="str">
        <x:v>Moyenne</x:v>
      </x:c>
      <x:c r="I19" s="6" t="str">
        <x:v>Priorité épaules visuelles</x:v>
      </x:c>
    </x:row>
    <x:row r="20" ht="15" hidden="0" customHeight="1">
      <x:c r="A20" s="6" t="str">
        <x:v>Samedi</x:v>
      </x:c>
      <x:c r="B20" s="6" t="str">
        <x:v>Bras + épaules</x:v>
      </x:c>
      <x:c r="C20" s="6" t="str">
        <x:v>Pec deck inversé / oiseau haltères</x:v>
      </x:c>
      <x:c r="D20" s="6" t="n">
        <x:v>3</x:v>
      </x:c>
      <x:c r="E20" s="6" t="str">
        <x:v>12–15</x:v>
      </x:c>
      <x:c r="F20" s="6" t="n">
        <x:v>15</x:v>
      </x:c>
      <x:c r="G20" s="6" t="str">
        <x:v>60 s</x:v>
      </x:c>
      <x:c r="H20" s="6" t="str">
        <x:v>Moyenne</x:v>
      </x:c>
      <x:c r="I20" s="6" t="str">
        <x:v>Posture épaules</x:v>
      </x:c>
    </x:row>
    <x:row r="21" ht="15" hidden="0" customHeight="1">
      <x:c r="A21" s="6" t="str">
        <x:v>Samedi</x:v>
      </x:c>
      <x:c r="B21" s="6" t="str">
        <x:v>Bras + épaules</x:v>
      </x:c>
      <x:c r="C21" s="6" t="str">
        <x:v>Spider curl haltères</x:v>
      </x:c>
      <x:c r="D21" s="6" t="n">
        <x:v>3</x:v>
      </x:c>
      <x:c r="E21" s="6" t="str">
        <x:v>10–12</x:v>
      </x:c>
      <x:c r="F21" s="6" t="n">
        <x:v>12</x:v>
      </x:c>
      <x:c r="G21" s="6" t="str">
        <x:v>60 s</x:v>
      </x:c>
      <x:c r="H21" s="6" t="str">
        <x:v>Moyenne</x:v>
      </x:c>
      <x:c r="I21" s="6" t="str">
        <x:v>Strict</x:v>
      </x:c>
    </x:row>
    <x:row r="22" ht="15" hidden="0" customHeight="1">
      <x:c r="A22" s="6" t="str">
        <x:v>Samedi</x:v>
      </x:c>
      <x:c r="B22" s="6" t="str">
        <x:v>Bras + épaules</x:v>
      </x:c>
      <x:c r="C22" s="6" t="str">
        <x:v>Curl incliné haltères</x:v>
      </x:c>
      <x:c r="D22" s="6" t="n">
        <x:v>3</x:v>
      </x:c>
      <x:c r="E22" s="6" t="str">
        <x:v>10–12</x:v>
      </x:c>
      <x:c r="F22" s="6" t="n">
        <x:v>12</x:v>
      </x:c>
      <x:c r="G22" s="6" t="str">
        <x:v>60 s</x:v>
      </x:c>
      <x:c r="H22" s="6" t="str">
        <x:v>Moyenne</x:v>
      </x:c>
      <x:c r="I22" s="6" t="str">
        <x:v>Étirement</x:v>
      </x:c>
    </x:row>
    <x:row r="23" ht="15" hidden="0" customHeight="1">
      <x:c r="A23" s="6" t="str">
        <x:v>Samedi</x:v>
      </x:c>
      <x:c r="B23" s="6" t="str">
        <x:v>Bras + épaules</x:v>
      </x:c>
      <x:c r="C23" s="6" t="str">
        <x:v>Extension triceps au front haltère</x:v>
      </x:c>
      <x:c r="D23" s="6" t="n">
        <x:v>3</x:v>
      </x:c>
      <x:c r="E23" s="6" t="str">
        <x:v>10–15</x:v>
      </x:c>
      <x:c r="F23" s="6" t="n">
        <x:v>15</x:v>
      </x:c>
      <x:c r="G23" s="6" t="str">
        <x:v>60 s</x:v>
      </x:c>
      <x:c r="H23" s="6" t="str">
        <x:v>Moyenne</x:v>
      </x:c>
      <x:c r="I23" s="6" t="str">
        <x:v>Contrôle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1" hidden="0" customWidth="1"/>
    <x:col min="4" max="4" width="18" hidden="0" customWidth="1"/>
    <x:col min="5" max="5" width="36" hidden="0" customWidth="1"/>
    <x:col min="6" max="6" width="13" hidden="0" customWidth="1"/>
    <x:col min="7" max="7" width="14" hidden="0" customWidth="1"/>
    <x:col min="8" max="8" width="13" hidden="0" customWidth="1"/>
    <x:col min="9" max="9" width="11" hidden="0" customWidth="1"/>
    <x:col min="10" max="10" width="8" hidden="0" customWidth="1"/>
    <x:col min="11" max="11" width="8" hidden="0" customWidth="1"/>
    <x:col min="12" max="12" width="8" hidden="0" customWidth="1"/>
    <x:col min="13" max="13" width="8" hidden="0" customWidth="1"/>
    <x:col min="14" max="14" width="11" hidden="0" customWidth="1"/>
    <x:col min="15" max="15" width="15" hidden="0" customWidth="1"/>
    <x:col min="16" max="16" width="18" hidden="0" customWidth="1"/>
    <x:col min="17" max="17" width="35" hidden="0" customWidth="1"/>
  </x:cols>
  <x:sheetData>
    <x:row r="1" ht="15" hidden="0" customHeight="1">
      <x:c r="A1" s="3" t="str">
        <x:v>Date</x:v>
      </x:c>
      <x:c r="B1" s="3" t="str">
        <x:v>Semaine</x:v>
      </x:c>
      <x:c r="C1" s="3" t="str">
        <x:v>Jour</x:v>
      </x:c>
      <x:c r="D1" s="3" t="str">
        <x:v>Séance</x:v>
      </x:c>
      <x:c r="E1" s="3" t="str">
        <x:v>Exercice</x:v>
      </x:c>
      <x:c r="F1" s="3" t="str">
        <x:v>Séries prévues</x:v>
      </x:c>
      <x:c r="G1" s="3" t="str">
        <x:v>Reps prévues</x:v>
      </x:c>
      <x:c r="H1" s="3" t="str">
        <x:v>Objectif reps</x:v>
      </x:c>
      <x:c r="I1" s="3" t="str">
        <x:v>Poids (kg)</x:v>
      </x:c>
      <x:c r="J1" s="3" t="str">
        <x:v>S1</x:v>
      </x:c>
      <x:c r="K1" s="3" t="str">
        <x:v>S2</x:v>
      </x:c>
      <x:c r="L1" s="3" t="str">
        <x:v>S3</x:v>
      </x:c>
      <x:c r="M1" s="3" t="str">
        <x:v>S4</x:v>
      </x:c>
      <x:c r="N1" s="3" t="str">
        <x:v>Total reps</x:v>
      </x:c>
      <x:c r="O1" s="3" t="str">
        <x:v>Volume kg-reps</x:v>
      </x:c>
      <x:c r="P1" s="3" t="str">
        <x:v>Décision</x:v>
      </x:c>
      <x:c r="Q1" s="3" t="str">
        <x:v>Commentaire</x:v>
      </x:c>
    </x:row>
    <x:row r="2" ht="15" hidden="0" customHeight="1">
      <x:c r="A2" s="6" t="str">
        <x:v>2026-04-27</x:v>
      </x:c>
      <x:c r="B2" s="6" t="str">
        <x:v>Semaine 1</x:v>
      </x:c>
      <x:c r="C2" s="6" t="str">
        <x:v>Lundi</x:v>
      </x:c>
      <x:c r="D2" s="6" t="str">
        <x:v>Push</x:v>
      </x:c>
      <x:c r="E2" s="6" t="str">
        <x:v>Développé décliné haltères</x:v>
      </x:c>
      <x:c r="F2" s="6" t="n">
        <x:v>4</x:v>
      </x:c>
      <x:c r="G2" s="6" t="str">
        <x:v>6–10</x:v>
      </x:c>
      <x:c r="H2" s="6" t="n">
        <x:v>10</x:v>
      </x:c>
      <x:c r="I2" s="6" t="str"/>
      <x:c r="J2" s="6" t="str"/>
      <x:c r="K2" s="6" t="str"/>
      <x:c r="L2" s="6" t="str"/>
      <x:c r="M2" s="6" t="str"/>
      <x:c r="N2" s="6" t="n">
        <x:f>SUM(J2:M2)</x:f>
        <x:v>0</x:v>
      </x:c>
      <x:c r="O2" s="6" t="str">
        <x:f>IF(I2="","",I2*N2)</x:f>
      </x:c>
      <x:c r="P2" s="6" t="str">
        <x:f>IF(COUNTA(I2:M2)=0,"À remplir",IF(COUNT(J2:M2)&lt;F2,"Séries incomplètes",IF(MIN(J2:INDEX(J2:M2,1,F2))&gt;=H2,"Augmenter poids","Conserver")))</x:f>
        <x:v>Séries incomplètes</x:v>
      </x:c>
      <x:c r="Q2" s="6" t="str"/>
    </x:row>
    <x:row r="3" ht="15" hidden="0" customHeight="1">
      <x:c r="A3" s="6" t="str">
        <x:v>2026-04-27</x:v>
      </x:c>
      <x:c r="B3" s="6" t="str">
        <x:v>Semaine 1</x:v>
      </x:c>
      <x:c r="C3" s="6" t="str">
        <x:v>Lundi</x:v>
      </x:c>
      <x:c r="D3" s="6" t="str">
        <x:v>Push</x:v>
      </x:c>
      <x:c r="E3" s="6" t="str">
        <x:v>Développé militaire haltères</x:v>
      </x:c>
      <x:c r="F3" s="6" t="n">
        <x:v>4</x:v>
      </x:c>
      <x:c r="G3" s="6" t="str">
        <x:v>6–10</x:v>
      </x:c>
      <x:c r="H3" s="6" t="n">
        <x:v>10</x:v>
      </x:c>
      <x:c r="I3" s="6" t="str"/>
      <x:c r="J3" s="6" t="str"/>
      <x:c r="K3" s="6" t="str"/>
      <x:c r="L3" s="6" t="str"/>
      <x:c r="M3" s="6" t="str"/>
      <x:c r="N3" s="6" t="n">
        <x:f>SUM(J3:M3)</x:f>
        <x:v>0</x:v>
      </x:c>
      <x:c r="O3" s="6" t="str">
        <x:f>IF(I3="","",I3*N3)</x:f>
      </x:c>
      <x:c r="P3" s="6" t="str">
        <x:f>IF(COUNTA(I3:M3)=0,"À remplir",IF(COUNT(J3:M3)&lt;F3,"Séries incomplètes",IF(MIN(J3:INDEX(J3:M3,1,F3))&gt;=H3,"Augmenter poids","Conserver")))</x:f>
        <x:v>Séries incomplètes</x:v>
      </x:c>
      <x:c r="Q3" s="6" t="str"/>
    </x:row>
    <x:row r="4" ht="15" hidden="0" customHeight="1">
      <x:c r="A4" s="6" t="str">
        <x:v>2026-04-27</x:v>
      </x:c>
      <x:c r="B4" s="6" t="str">
        <x:v>Semaine 1</x:v>
      </x:c>
      <x:c r="C4" s="6" t="str">
        <x:v>Lundi</x:v>
      </x:c>
      <x:c r="D4" s="6" t="str">
        <x:v>Push</x:v>
      </x:c>
      <x:c r="E4" s="6" t="str">
        <x:v>Élévations latérales inclinées</x:v>
      </x:c>
      <x:c r="F4" s="6" t="n">
        <x:v>3</x:v>
      </x:c>
      <x:c r="G4" s="6" t="str">
        <x:v>12–15</x:v>
      </x:c>
      <x:c r="H4" s="6" t="n">
        <x:v>15</x:v>
      </x:c>
      <x:c r="I4" s="6" t="str"/>
      <x:c r="J4" s="6" t="str"/>
      <x:c r="K4" s="6" t="str"/>
      <x:c r="L4" s="6" t="str"/>
      <x:c r="M4" s="6" t="str"/>
      <x:c r="N4" s="6" t="n">
        <x:f>SUM(J4:M4)</x:f>
        <x:v>0</x:v>
      </x:c>
      <x:c r="O4" s="6" t="str">
        <x:f>IF(I4="","",I4*N4)</x:f>
      </x:c>
      <x:c r="P4" s="6" t="str">
        <x:f>IF(COUNTA(I4:M4)=0,"À remplir",IF(COUNT(J4:M4)&lt;F4,"Séries incomplètes",IF(MIN(J4:INDEX(J4:M4,1,F4))&gt;=H4,"Augmenter poids","Conserver")))</x:f>
        <x:v>Séries incomplètes</x:v>
      </x:c>
      <x:c r="Q4" s="6" t="str"/>
    </x:row>
    <x:row r="5" ht="15" hidden="0" customHeight="1">
      <x:c r="A5" s="6" t="str">
        <x:v>2026-04-27</x:v>
      </x:c>
      <x:c r="B5" s="6" t="str">
        <x:v>Semaine 1</x:v>
      </x:c>
      <x:c r="C5" s="6" t="str">
        <x:v>Lundi</x:v>
      </x:c>
      <x:c r="D5" s="6" t="str">
        <x:v>Push</x:v>
      </x:c>
      <x:c r="E5" s="6" t="str">
        <x:v>Extension triceps au front haltère</x:v>
      </x:c>
      <x:c r="F5" s="6" t="n">
        <x:v>3</x:v>
      </x:c>
      <x:c r="G5" s="6" t="str">
        <x:v>10–15</x:v>
      </x:c>
      <x:c r="H5" s="6" t="n">
        <x:v>15</x:v>
      </x:c>
      <x:c r="I5" s="6" t="str"/>
      <x:c r="J5" s="6" t="str"/>
      <x:c r="K5" s="6" t="str"/>
      <x:c r="L5" s="6" t="str"/>
      <x:c r="M5" s="6" t="str"/>
      <x:c r="N5" s="6" t="n">
        <x:f>SUM(J5:M5)</x:f>
        <x:v>0</x:v>
      </x:c>
      <x:c r="O5" s="6" t="str">
        <x:f>IF(I5="","",I5*N5)</x:f>
      </x:c>
      <x:c r="P5" s="6" t="str">
        <x:f>IF(COUNTA(I5:M5)=0,"À remplir",IF(COUNT(J5:M5)&lt;F5,"Séries incomplètes",IF(MIN(J5:INDEX(J5:M5,1,F5))&gt;=H5,"Augmenter poids","Conserver")))</x:f>
        <x:v>Séries incomplètes</x:v>
      </x:c>
      <x:c r="Q5" s="6" t="str"/>
    </x:row>
    <x:row r="6" ht="15" hidden="0" customHeight="1">
      <x:c r="A6" s="6" t="str">
        <x:v>2026-04-28</x:v>
      </x:c>
      <x:c r="B6" s="6" t="str">
        <x:v>Semaine 1</x:v>
      </x:c>
      <x:c r="C6" s="6" t="str">
        <x:v>Mardi</x:v>
      </x:c>
      <x:c r="D6" s="6" t="str">
        <x:v>Pull</x:v>
      </x:c>
      <x:c r="E6" s="6" t="str">
        <x:v>Rowing haltère</x:v>
      </x:c>
      <x:c r="F6" s="6" t="n">
        <x:v>4</x:v>
      </x:c>
      <x:c r="G6" s="6" t="str">
        <x:v>8–12</x:v>
      </x:c>
      <x:c r="H6" s="6" t="n">
        <x:v>12</x:v>
      </x:c>
      <x:c r="I6" s="6" t="str"/>
      <x:c r="J6" s="6" t="str"/>
      <x:c r="K6" s="6" t="str"/>
      <x:c r="L6" s="6" t="str"/>
      <x:c r="M6" s="6" t="str"/>
      <x:c r="N6" s="6" t="n">
        <x:f>SUM(J6:M6)</x:f>
        <x:v>0</x:v>
      </x:c>
      <x:c r="O6" s="6" t="str">
        <x:f>IF(I6="","",I6*N6)</x:f>
      </x:c>
      <x:c r="P6" s="6" t="str">
        <x:f>IF(COUNTA(I6:M6)=0,"À remplir",IF(COUNT(J6:M6)&lt;F6,"Séries incomplètes",IF(MIN(J6:INDEX(J6:M6,1,F6))&gt;=H6,"Augmenter poids","Conserver")))</x:f>
        <x:v>Séries incomplètes</x:v>
      </x:c>
      <x:c r="Q6" s="6" t="str"/>
    </x:row>
    <x:row r="7" ht="15" hidden="0" customHeight="1">
      <x:c r="A7" s="6" t="str">
        <x:v>2026-04-28</x:v>
      </x:c>
      <x:c r="B7" s="6" t="str">
        <x:v>Semaine 1</x:v>
      </x:c>
      <x:c r="C7" s="6" t="str">
        <x:v>Mardi</x:v>
      </x:c>
      <x:c r="D7" s="6" t="str">
        <x:v>Pull</x:v>
      </x:c>
      <x:c r="E7" s="6" t="str">
        <x:v>Pec deck inversé / oiseau haltères</x:v>
      </x:c>
      <x:c r="F7" s="6" t="n">
        <x:v>3</x:v>
      </x:c>
      <x:c r="G7" s="6" t="str">
        <x:v>12–15</x:v>
      </x:c>
      <x:c r="H7" s="6" t="n">
        <x:v>15</x:v>
      </x:c>
      <x:c r="I7" s="6" t="str"/>
      <x:c r="J7" s="6" t="str"/>
      <x:c r="K7" s="6" t="str"/>
      <x:c r="L7" s="6" t="str"/>
      <x:c r="M7" s="6" t="str"/>
      <x:c r="N7" s="6" t="n">
        <x:f>SUM(J7:M7)</x:f>
        <x:v>0</x:v>
      </x:c>
      <x:c r="O7" s="6" t="str">
        <x:f>IF(I7="","",I7*N7)</x:f>
      </x:c>
      <x:c r="P7" s="6" t="str">
        <x:f>IF(COUNTA(I7:M7)=0,"À remplir",IF(COUNT(J7:M7)&lt;F7,"Séries incomplètes",IF(MIN(J7:INDEX(J7:M7,1,F7))&gt;=H7,"Augmenter poids","Conserver")))</x:f>
        <x:v>Séries incomplètes</x:v>
      </x:c>
      <x:c r="Q7" s="6" t="str"/>
    </x:row>
    <x:row r="8" ht="15" hidden="0" customHeight="1">
      <x:c r="A8" s="6" t="str">
        <x:v>2026-04-28</x:v>
      </x:c>
      <x:c r="B8" s="6" t="str">
        <x:v>Semaine 1</x:v>
      </x:c>
      <x:c r="C8" s="6" t="str">
        <x:v>Mardi</x:v>
      </x:c>
      <x:c r="D8" s="6" t="str">
        <x:v>Pull</x:v>
      </x:c>
      <x:c r="E8" s="6" t="str">
        <x:v>Curl incliné haltères</x:v>
      </x:c>
      <x:c r="F8" s="6" t="n">
        <x:v>3</x:v>
      </x:c>
      <x:c r="G8" s="6" t="str">
        <x:v>10–12</x:v>
      </x:c>
      <x:c r="H8" s="6" t="n">
        <x:v>12</x:v>
      </x:c>
      <x:c r="I8" s="6" t="str"/>
      <x:c r="J8" s="6" t="str"/>
      <x:c r="K8" s="6" t="str"/>
      <x:c r="L8" s="6" t="str"/>
      <x:c r="M8" s="6" t="str"/>
      <x:c r="N8" s="6" t="n">
        <x:f>SUM(J8:M8)</x:f>
        <x:v>0</x:v>
      </x:c>
      <x:c r="O8" s="6" t="str">
        <x:f>IF(I8="","",I8*N8)</x:f>
      </x:c>
      <x:c r="P8" s="6" t="str">
        <x:f>IF(COUNTA(I8:M8)=0,"À remplir",IF(COUNT(J8:M8)&lt;F8,"Séries incomplètes",IF(MIN(J8:INDEX(J8:M8,1,F8))&gt;=H8,"Augmenter poids","Conserver")))</x:f>
        <x:v>Séries incomplètes</x:v>
      </x:c>
      <x:c r="Q8" s="6" t="str"/>
    </x:row>
    <x:row r="9" ht="15" hidden="0" customHeight="1">
      <x:c r="A9" s="6" t="str">
        <x:v>2026-04-28</x:v>
      </x:c>
      <x:c r="B9" s="6" t="str">
        <x:v>Semaine 1</x:v>
      </x:c>
      <x:c r="C9" s="6" t="str">
        <x:v>Mardi</x:v>
      </x:c>
      <x:c r="D9" s="6" t="str">
        <x:v>Pull</x:v>
      </x:c>
      <x:c r="E9" s="6" t="str">
        <x:v>Spider curl haltères</x:v>
      </x:c>
      <x:c r="F9" s="6" t="n">
        <x:v>3</x:v>
      </x:c>
      <x:c r="G9" s="6" t="str">
        <x:v>10–12</x:v>
      </x:c>
      <x:c r="H9" s="6" t="n">
        <x:v>12</x:v>
      </x:c>
      <x:c r="I9" s="6" t="str"/>
      <x:c r="J9" s="6" t="str"/>
      <x:c r="K9" s="6" t="str"/>
      <x:c r="L9" s="6" t="str"/>
      <x:c r="M9" s="6" t="str"/>
      <x:c r="N9" s="6" t="n">
        <x:f>SUM(J9:M9)</x:f>
        <x:v>0</x:v>
      </x:c>
      <x:c r="O9" s="6" t="str">
        <x:f>IF(I9="","",I9*N9)</x:f>
      </x:c>
      <x:c r="P9" s="6" t="str">
        <x:f>IF(COUNTA(I9:M9)=0,"À remplir",IF(COUNT(J9:M9)&lt;F9,"Séries incomplètes",IF(MIN(J9:INDEX(J9:M9,1,F9))&gt;=H9,"Augmenter poids","Conserver")))</x:f>
        <x:v>Séries incomplètes</x:v>
      </x:c>
      <x:c r="Q9" s="6" t="str"/>
    </x:row>
    <x:row r="10" ht="15" hidden="0" customHeight="1">
      <x:c r="A10" s="6" t="str">
        <x:v>2026-04-29</x:v>
      </x:c>
      <x:c r="B10" s="6" t="str">
        <x:v>Semaine 1</x:v>
      </x:c>
      <x:c r="C10" s="6" t="str">
        <x:v>Mercredi</x:v>
      </x:c>
      <x:c r="D10" s="6" t="str">
        <x:v>Jambes</x:v>
      </x:c>
      <x:c r="E10" s="6" t="str">
        <x:v>Goblet squat</x:v>
      </x:c>
      <x:c r="F10" s="6" t="n">
        <x:v>4</x:v>
      </x:c>
      <x:c r="G10" s="6" t="str">
        <x:v>10–20</x:v>
      </x:c>
      <x:c r="H10" s="6" t="n">
        <x:v>20</x:v>
      </x:c>
      <x:c r="I10" s="6" t="str"/>
      <x:c r="J10" s="6" t="str"/>
      <x:c r="K10" s="6" t="str"/>
      <x:c r="L10" s="6" t="str"/>
      <x:c r="M10" s="6" t="str"/>
      <x:c r="N10" s="6" t="n">
        <x:f>SUM(J10:M10)</x:f>
        <x:v>0</x:v>
      </x:c>
      <x:c r="O10" s="6" t="str">
        <x:f>IF(I10="","",I10*N10)</x:f>
      </x:c>
      <x:c r="P10" s="6" t="str">
        <x:f>IF(COUNTA(I10:M10)=0,"À remplir",IF(COUNT(J10:M10)&lt;F10,"Séries incomplètes",IF(MIN(J10:INDEX(J10:M10,1,F10))&gt;=H10,"Augmenter poids","Conserver")))</x:f>
        <x:v>Séries incomplètes</x:v>
      </x:c>
      <x:c r="Q10" s="6" t="str"/>
    </x:row>
    <x:row r="11" ht="15" hidden="0" customHeight="1">
      <x:c r="A11" s="6" t="str">
        <x:v>2026-04-29</x:v>
      </x:c>
      <x:c r="B11" s="6" t="str">
        <x:v>Semaine 1</x:v>
      </x:c>
      <x:c r="C11" s="6" t="str">
        <x:v>Mercredi</x:v>
      </x:c>
      <x:c r="D11" s="6" t="str">
        <x:v>Jambes</x:v>
      </x:c>
      <x:c r="E11" s="6" t="str">
        <x:v>Fentes haltères</x:v>
      </x:c>
      <x:c r="F11" s="6" t="n">
        <x:v>3</x:v>
      </x:c>
      <x:c r="G11" s="6" t="str">
        <x:v>10–15 / jambe</x:v>
      </x:c>
      <x:c r="H11" s="6" t="n">
        <x:v>15</x:v>
      </x:c>
      <x:c r="I11" s="6" t="str"/>
      <x:c r="J11" s="6" t="str"/>
      <x:c r="K11" s="6" t="str"/>
      <x:c r="L11" s="6" t="str"/>
      <x:c r="M11" s="6" t="str"/>
      <x:c r="N11" s="6" t="n">
        <x:f>SUM(J11:M11)</x:f>
        <x:v>0</x:v>
      </x:c>
      <x:c r="O11" s="6" t="str">
        <x:f>IF(I11="","",I11*N11)</x:f>
      </x:c>
      <x:c r="P11" s="6" t="str">
        <x:f>IF(COUNTA(I11:M11)=0,"À remplir",IF(COUNT(J11:M11)&lt;F11,"Séries incomplètes",IF(MIN(J11:INDEX(J11:M11,1,F11))&gt;=H11,"Augmenter poids","Conserver")))</x:f>
        <x:v>Séries incomplètes</x:v>
      </x:c>
      <x:c r="Q11" s="6" t="str"/>
    </x:row>
    <x:row r="12" ht="15" hidden="0" customHeight="1">
      <x:c r="A12" s="6" t="str">
        <x:v>2026-04-29</x:v>
      </x:c>
      <x:c r="B12" s="6" t="str">
        <x:v>Semaine 1</x:v>
      </x:c>
      <x:c r="C12" s="6" t="str">
        <x:v>Mercredi</x:v>
      </x:c>
      <x:c r="D12" s="6" t="str">
        <x:v>Jambes</x:v>
      </x:c>
      <x:c r="E12" s="6" t="str">
        <x:v>Soulevé de terre jambes tendues haltères</x:v>
      </x:c>
      <x:c r="F12" s="6" t="n">
        <x:v>3</x:v>
      </x:c>
      <x:c r="G12" s="6" t="str">
        <x:v>10–15</x:v>
      </x:c>
      <x:c r="H12" s="6" t="n">
        <x:v>15</x:v>
      </x:c>
      <x:c r="I12" s="6" t="str"/>
      <x:c r="J12" s="6" t="str"/>
      <x:c r="K12" s="6" t="str"/>
      <x:c r="L12" s="6" t="str"/>
      <x:c r="M12" s="6" t="str"/>
      <x:c r="N12" s="6" t="n">
        <x:f>SUM(J12:M12)</x:f>
        <x:v>0</x:v>
      </x:c>
      <x:c r="O12" s="6" t="str">
        <x:f>IF(I12="","",I12*N12)</x:f>
      </x:c>
      <x:c r="P12" s="6" t="str">
        <x:f>IF(COUNTA(I12:M12)=0,"À remplir",IF(COUNT(J12:M12)&lt;F12,"Séries incomplètes",IF(MIN(J12:INDEX(J12:M12,1,F12))&gt;=H12,"Augmenter poids","Conserver")))</x:f>
        <x:v>Séries incomplètes</x:v>
      </x:c>
      <x:c r="Q12" s="6" t="str"/>
    </x:row>
    <x:row r="13" ht="15" hidden="0" customHeight="1">
      <x:c r="A13" s="6" t="str">
        <x:v>2026-05-01</x:v>
      </x:c>
      <x:c r="B13" s="6" t="str">
        <x:v>Semaine 1</x:v>
      </x:c>
      <x:c r="C13" s="6" t="str">
        <x:v>Vendredi</x:v>
      </x:c>
      <x:c r="D13" s="6" t="str">
        <x:v>Haut du corps</x:v>
      </x:c>
      <x:c r="E13" s="6" t="str">
        <x:v>Rowing haltère</x:v>
      </x:c>
      <x:c r="F13" s="6" t="n">
        <x:v>3</x:v>
      </x:c>
      <x:c r="G13" s="6" t="str">
        <x:v>8–12</x:v>
      </x:c>
      <x:c r="H13" s="6" t="n">
        <x:v>12</x:v>
      </x:c>
      <x:c r="I13" s="6" t="str"/>
      <x:c r="J13" s="6" t="str"/>
      <x:c r="K13" s="6" t="str"/>
      <x:c r="L13" s="6" t="str"/>
      <x:c r="M13" s="6" t="str"/>
      <x:c r="N13" s="6" t="n">
        <x:f>SUM(J13:M13)</x:f>
        <x:v>0</x:v>
      </x:c>
      <x:c r="O13" s="6" t="str">
        <x:f>IF(I13="","",I13*N13)</x:f>
      </x:c>
      <x:c r="P13" s="6" t="str">
        <x:f>IF(COUNTA(I13:M13)=0,"À remplir",IF(COUNT(J13:M13)&lt;F13,"Séries incomplètes",IF(MIN(J13:INDEX(J13:M13,1,F13))&gt;=H13,"Augmenter poids","Conserver")))</x:f>
        <x:v>Séries incomplètes</x:v>
      </x:c>
      <x:c r="Q13" s="6" t="str"/>
    </x:row>
    <x:row r="14" ht="15" hidden="0" customHeight="1">
      <x:c r="A14" s="6" t="str">
        <x:v>2026-05-01</x:v>
      </x:c>
      <x:c r="B14" s="6" t="str">
        <x:v>Semaine 1</x:v>
      </x:c>
      <x:c r="C14" s="6" t="str">
        <x:v>Vendredi</x:v>
      </x:c>
      <x:c r="D14" s="6" t="str">
        <x:v>Haut du corps</x:v>
      </x:c>
      <x:c r="E14" s="6" t="str">
        <x:v>Développé décliné haltères</x:v>
      </x:c>
      <x:c r="F14" s="6" t="n">
        <x:v>3</x:v>
      </x:c>
      <x:c r="G14" s="6" t="str">
        <x:v>8–12</x:v>
      </x:c>
      <x:c r="H14" s="6" t="n">
        <x:v>12</x:v>
      </x:c>
      <x:c r="I14" s="6" t="str"/>
      <x:c r="J14" s="6" t="str"/>
      <x:c r="K14" s="6" t="str"/>
      <x:c r="L14" s="6" t="str"/>
      <x:c r="M14" s="6" t="str"/>
      <x:c r="N14" s="6" t="n">
        <x:f>SUM(J14:M14)</x:f>
        <x:v>0</x:v>
      </x:c>
      <x:c r="O14" s="6" t="str">
        <x:f>IF(I14="","",I14*N14)</x:f>
      </x:c>
      <x:c r="P14" s="6" t="str">
        <x:f>IF(COUNTA(I14:M14)=0,"À remplir",IF(COUNT(J14:M14)&lt;F14,"Séries incomplètes",IF(MIN(J14:INDEX(J14:M14,1,F14))&gt;=H14,"Augmenter poids","Conserver")))</x:f>
        <x:v>Séries incomplètes</x:v>
      </x:c>
      <x:c r="Q14" s="6" t="str"/>
    </x:row>
    <x:row r="15" ht="15" hidden="0" customHeight="1">
      <x:c r="A15" s="6" t="str">
        <x:v>2026-05-01</x:v>
      </x:c>
      <x:c r="B15" s="6" t="str">
        <x:v>Semaine 1</x:v>
      </x:c>
      <x:c r="C15" s="6" t="str">
        <x:v>Vendredi</x:v>
      </x:c>
      <x:c r="D15" s="6" t="str">
        <x:v>Haut du corps</x:v>
      </x:c>
      <x:c r="E15" s="6" t="str">
        <x:v>Développé militaire haltères</x:v>
      </x:c>
      <x:c r="F15" s="6" t="n">
        <x:v>3</x:v>
      </x:c>
      <x:c r="G15" s="6" t="str">
        <x:v>8–12</x:v>
      </x:c>
      <x:c r="H15" s="6" t="n">
        <x:v>12</x:v>
      </x:c>
      <x:c r="I15" s="6" t="str"/>
      <x:c r="J15" s="6" t="str"/>
      <x:c r="K15" s="6" t="str"/>
      <x:c r="L15" s="6" t="str"/>
      <x:c r="M15" s="6" t="str"/>
      <x:c r="N15" s="6" t="n">
        <x:f>SUM(J15:M15)</x:f>
        <x:v>0</x:v>
      </x:c>
      <x:c r="O15" s="6" t="str">
        <x:f>IF(I15="","",I15*N15)</x:f>
      </x:c>
      <x:c r="P15" s="6" t="str">
        <x:f>IF(COUNTA(I15:M15)=0,"À remplir",IF(COUNT(J15:M15)&lt;F15,"Séries incomplètes",IF(MIN(J15:INDEX(J15:M15,1,F15))&gt;=H15,"Augmenter poids","Conserver")))</x:f>
        <x:v>Séries incomplètes</x:v>
      </x:c>
      <x:c r="Q15" s="6" t="str"/>
    </x:row>
    <x:row r="16" ht="15" hidden="0" customHeight="1">
      <x:c r="A16" s="6" t="str">
        <x:v>2026-05-01</x:v>
      </x:c>
      <x:c r="B16" s="6" t="str">
        <x:v>Semaine 1</x:v>
      </x:c>
      <x:c r="C16" s="6" t="str">
        <x:v>Vendredi</x:v>
      </x:c>
      <x:c r="D16" s="6" t="str">
        <x:v>Haut du corps</x:v>
      </x:c>
      <x:c r="E16" s="6" t="str">
        <x:v>Élévations latérales inclinées</x:v>
      </x:c>
      <x:c r="F16" s="6" t="n">
        <x:v>3</x:v>
      </x:c>
      <x:c r="G16" s="6" t="str">
        <x:v>12–15</x:v>
      </x:c>
      <x:c r="H16" s="6" t="n">
        <x:v>15</x:v>
      </x:c>
      <x:c r="I16" s="6" t="str"/>
      <x:c r="J16" s="6" t="str"/>
      <x:c r="K16" s="6" t="str"/>
      <x:c r="L16" s="6" t="str"/>
      <x:c r="M16" s="6" t="str"/>
      <x:c r="N16" s="6" t="n">
        <x:f>SUM(J16:M16)</x:f>
        <x:v>0</x:v>
      </x:c>
      <x:c r="O16" s="6" t="str">
        <x:f>IF(I16="","",I16*N16)</x:f>
      </x:c>
      <x:c r="P16" s="6" t="str">
        <x:f>IF(COUNTA(I16:M16)=0,"À remplir",IF(COUNT(J16:M16)&lt;F16,"Séries incomplètes",IF(MIN(J16:INDEX(J16:M16,1,F16))&gt;=H16,"Augmenter poids","Conserver")))</x:f>
        <x:v>Séries incomplètes</x:v>
      </x:c>
      <x:c r="Q16" s="6" t="str"/>
    </x:row>
    <x:row r="17" ht="15" hidden="0" customHeight="1">
      <x:c r="A17" s="6" t="str">
        <x:v>2026-05-01</x:v>
      </x:c>
      <x:c r="B17" s="6" t="str">
        <x:v>Semaine 1</x:v>
      </x:c>
      <x:c r="C17" s="6" t="str">
        <x:v>Vendredi</x:v>
      </x:c>
      <x:c r="D17" s="6" t="str">
        <x:v>Haut du corps</x:v>
      </x:c>
      <x:c r="E17" s="6" t="str">
        <x:v>Curl incliné haltères</x:v>
      </x:c>
      <x:c r="F17" s="6" t="n">
        <x:v>2</x:v>
      </x:c>
      <x:c r="G17" s="6" t="str">
        <x:v>10–12</x:v>
      </x:c>
      <x:c r="H17" s="6" t="n">
        <x:v>12</x:v>
      </x:c>
      <x:c r="I17" s="6" t="str"/>
      <x:c r="J17" s="6" t="str"/>
      <x:c r="K17" s="6" t="str"/>
      <x:c r="L17" s="6" t="str"/>
      <x:c r="M17" s="6" t="str"/>
      <x:c r="N17" s="6" t="n">
        <x:f>SUM(J17:M17)</x:f>
        <x:v>0</x:v>
      </x:c>
      <x:c r="O17" s="6" t="str">
        <x:f>IF(I17="","",I17*N17)</x:f>
      </x:c>
      <x:c r="P17" s="6" t="str">
        <x:f>IF(COUNTA(I17:M17)=0,"À remplir",IF(COUNT(J17:M17)&lt;F17,"Séries incomplètes",IF(MIN(J17:INDEX(J17:M17,1,F17))&gt;=H17,"Augmenter poids","Conserver")))</x:f>
        <x:v>Séries incomplètes</x:v>
      </x:c>
      <x:c r="Q17" s="6" t="str"/>
    </x:row>
    <x:row r="18" ht="15" hidden="0" customHeight="1">
      <x:c r="A18" s="6" t="str">
        <x:v>2026-05-01</x:v>
      </x:c>
      <x:c r="B18" s="6" t="str">
        <x:v>Semaine 1</x:v>
      </x:c>
      <x:c r="C18" s="6" t="str">
        <x:v>Vendredi</x:v>
      </x:c>
      <x:c r="D18" s="6" t="str">
        <x:v>Haut du corps</x:v>
      </x:c>
      <x:c r="E18" s="6" t="str">
        <x:v>Extension triceps au front haltère</x:v>
      </x:c>
      <x:c r="F18" s="6" t="n">
        <x:v>2</x:v>
      </x:c>
      <x:c r="G18" s="6" t="str">
        <x:v>10–15</x:v>
      </x:c>
      <x:c r="H18" s="6" t="n">
        <x:v>15</x:v>
      </x:c>
      <x:c r="I18" s="6" t="str"/>
      <x:c r="J18" s="6" t="str"/>
      <x:c r="K18" s="6" t="str"/>
      <x:c r="L18" s="6" t="str"/>
      <x:c r="M18" s="6" t="str"/>
      <x:c r="N18" s="6" t="n">
        <x:f>SUM(J18:M18)</x:f>
        <x:v>0</x:v>
      </x:c>
      <x:c r="O18" s="6" t="str">
        <x:f>IF(I18="","",I18*N18)</x:f>
      </x:c>
      <x:c r="P18" s="6" t="str">
        <x:f>IF(COUNTA(I18:M18)=0,"À remplir",IF(COUNT(J18:M18)&lt;F18,"Séries incomplètes",IF(MIN(J18:INDEX(J18:M18,1,F18))&gt;=H18,"Augmenter poids","Conserver")))</x:f>
        <x:v>Séries incomplètes</x:v>
      </x:c>
      <x:c r="Q18" s="6" t="str"/>
    </x:row>
    <x:row r="19" ht="15" hidden="0" customHeight="1">
      <x:c r="A19" s="6" t="str">
        <x:v>2026-05-02</x:v>
      </x:c>
      <x:c r="B19" s="6" t="str">
        <x:v>Semaine 1</x:v>
      </x:c>
      <x:c r="C19" s="6" t="str">
        <x:v>Samedi</x:v>
      </x:c>
      <x:c r="D19" s="6" t="str">
        <x:v>Bras + épaules</x:v>
      </x:c>
      <x:c r="E19" s="6" t="str">
        <x:v>Élévations latérales inclinées</x:v>
      </x:c>
      <x:c r="F19" s="6" t="n">
        <x:v>4</x:v>
      </x:c>
      <x:c r="G19" s="6" t="str">
        <x:v>12–20</x:v>
      </x:c>
      <x:c r="H19" s="6" t="n">
        <x:v>20</x:v>
      </x:c>
      <x:c r="I19" s="6" t="str"/>
      <x:c r="J19" s="6" t="str"/>
      <x:c r="K19" s="6" t="str"/>
      <x:c r="L19" s="6" t="str"/>
      <x:c r="M19" s="6" t="str"/>
      <x:c r="N19" s="6" t="n">
        <x:f>SUM(J19:M19)</x:f>
        <x:v>0</x:v>
      </x:c>
      <x:c r="O19" s="6" t="str">
        <x:f>IF(I19="","",I19*N19)</x:f>
      </x:c>
      <x:c r="P19" s="6" t="str">
        <x:f>IF(COUNTA(I19:M19)=0,"À remplir",IF(COUNT(J19:M19)&lt;F19,"Séries incomplètes",IF(MIN(J19:INDEX(J19:M19,1,F19))&gt;=H19,"Augmenter poids","Conserver")))</x:f>
        <x:v>Séries incomplètes</x:v>
      </x:c>
      <x:c r="Q19" s="6" t="str"/>
    </x:row>
    <x:row r="20" ht="15" hidden="0" customHeight="1">
      <x:c r="A20" s="6" t="str">
        <x:v>2026-05-02</x:v>
      </x:c>
      <x:c r="B20" s="6" t="str">
        <x:v>Semaine 1</x:v>
      </x:c>
      <x:c r="C20" s="6" t="str">
        <x:v>Samedi</x:v>
      </x:c>
      <x:c r="D20" s="6" t="str">
        <x:v>Bras + épaules</x:v>
      </x:c>
      <x:c r="E20" s="6" t="str">
        <x:v>Pec deck inversé / oiseau haltères</x:v>
      </x:c>
      <x:c r="F20" s="6" t="n">
        <x:v>3</x:v>
      </x:c>
      <x:c r="G20" s="6" t="str">
        <x:v>12–15</x:v>
      </x:c>
      <x:c r="H20" s="6" t="n">
        <x:v>15</x:v>
      </x:c>
      <x:c r="I20" s="6" t="str"/>
      <x:c r="J20" s="6" t="str"/>
      <x:c r="K20" s="6" t="str"/>
      <x:c r="L20" s="6" t="str"/>
      <x:c r="M20" s="6" t="str"/>
      <x:c r="N20" s="6" t="n">
        <x:f>SUM(J20:M20)</x:f>
        <x:v>0</x:v>
      </x:c>
      <x:c r="O20" s="6" t="str">
        <x:f>IF(I20="","",I20*N20)</x:f>
      </x:c>
      <x:c r="P20" s="6" t="str">
        <x:f>IF(COUNTA(I20:M20)=0,"À remplir",IF(COUNT(J20:M20)&lt;F20,"Séries incomplètes",IF(MIN(J20:INDEX(J20:M20,1,F20))&gt;=H20,"Augmenter poids","Conserver")))</x:f>
        <x:v>Séries incomplètes</x:v>
      </x:c>
      <x:c r="Q20" s="6" t="str"/>
    </x:row>
    <x:row r="21" ht="15" hidden="0" customHeight="1">
      <x:c r="A21" s="6" t="str">
        <x:v>2026-05-02</x:v>
      </x:c>
      <x:c r="B21" s="6" t="str">
        <x:v>Semaine 1</x:v>
      </x:c>
      <x:c r="C21" s="6" t="str">
        <x:v>Samedi</x:v>
      </x:c>
      <x:c r="D21" s="6" t="str">
        <x:v>Bras + épaules</x:v>
      </x:c>
      <x:c r="E21" s="6" t="str">
        <x:v>Spider curl haltères</x:v>
      </x:c>
      <x:c r="F21" s="6" t="n">
        <x:v>3</x:v>
      </x:c>
      <x:c r="G21" s="6" t="str">
        <x:v>10–12</x:v>
      </x:c>
      <x:c r="H21" s="6" t="n">
        <x:v>12</x:v>
      </x:c>
      <x:c r="I21" s="6" t="str"/>
      <x:c r="J21" s="6" t="str"/>
      <x:c r="K21" s="6" t="str"/>
      <x:c r="L21" s="6" t="str"/>
      <x:c r="M21" s="6" t="str"/>
      <x:c r="N21" s="6" t="n">
        <x:f>SUM(J21:M21)</x:f>
        <x:v>0</x:v>
      </x:c>
      <x:c r="O21" s="6" t="str">
        <x:f>IF(I21="","",I21*N21)</x:f>
      </x:c>
      <x:c r="P21" s="6" t="str">
        <x:f>IF(COUNTA(I21:M21)=0,"À remplir",IF(COUNT(J21:M21)&lt;F21,"Séries incomplètes",IF(MIN(J21:INDEX(J21:M21,1,F21))&gt;=H21,"Augmenter poids","Conserver")))</x:f>
        <x:v>Séries incomplètes</x:v>
      </x:c>
      <x:c r="Q21" s="6" t="str"/>
    </x:row>
    <x:row r="22" ht="15" hidden="0" customHeight="1">
      <x:c r="A22" s="6" t="str">
        <x:v>2026-05-02</x:v>
      </x:c>
      <x:c r="B22" s="6" t="str">
        <x:v>Semaine 1</x:v>
      </x:c>
      <x:c r="C22" s="6" t="str">
        <x:v>Samedi</x:v>
      </x:c>
      <x:c r="D22" s="6" t="str">
        <x:v>Bras + épaules</x:v>
      </x:c>
      <x:c r="E22" s="6" t="str">
        <x:v>Curl incliné haltères</x:v>
      </x:c>
      <x:c r="F22" s="6" t="n">
        <x:v>3</x:v>
      </x:c>
      <x:c r="G22" s="6" t="str">
        <x:v>10–12</x:v>
      </x:c>
      <x:c r="H22" s="6" t="n">
        <x:v>12</x:v>
      </x:c>
      <x:c r="I22" s="6" t="str"/>
      <x:c r="J22" s="6" t="str"/>
      <x:c r="K22" s="6" t="str"/>
      <x:c r="L22" s="6" t="str"/>
      <x:c r="M22" s="6" t="str"/>
      <x:c r="N22" s="6" t="n">
        <x:f>SUM(J22:M22)</x:f>
        <x:v>0</x:v>
      </x:c>
      <x:c r="O22" s="6" t="str">
        <x:f>IF(I22="","",I22*N22)</x:f>
      </x:c>
      <x:c r="P22" s="6" t="str">
        <x:f>IF(COUNTA(I22:M22)=0,"À remplir",IF(COUNT(J22:M22)&lt;F22,"Séries incomplètes",IF(MIN(J22:INDEX(J22:M22,1,F22))&gt;=H22,"Augmenter poids","Conserver")))</x:f>
        <x:v>Séries incomplètes</x:v>
      </x:c>
      <x:c r="Q22" s="6" t="str"/>
    </x:row>
    <x:row r="23" ht="15" hidden="0" customHeight="1">
      <x:c r="A23" s="6" t="str">
        <x:v>2026-05-02</x:v>
      </x:c>
      <x:c r="B23" s="6" t="str">
        <x:v>Semaine 1</x:v>
      </x:c>
      <x:c r="C23" s="6" t="str">
        <x:v>Samedi</x:v>
      </x:c>
      <x:c r="D23" s="6" t="str">
        <x:v>Bras + épaules</x:v>
      </x:c>
      <x:c r="E23" s="6" t="str">
        <x:v>Extension triceps au front haltère</x:v>
      </x:c>
      <x:c r="F23" s="6" t="n">
        <x:v>3</x:v>
      </x:c>
      <x:c r="G23" s="6" t="str">
        <x:v>10–15</x:v>
      </x:c>
      <x:c r="H23" s="6" t="n">
        <x:v>15</x:v>
      </x:c>
      <x:c r="I23" s="6" t="str"/>
      <x:c r="J23" s="6" t="str"/>
      <x:c r="K23" s="6" t="str"/>
      <x:c r="L23" s="6" t="str"/>
      <x:c r="M23" s="6" t="str"/>
      <x:c r="N23" s="6" t="n">
        <x:f>SUM(J23:M23)</x:f>
        <x:v>0</x:v>
      </x:c>
      <x:c r="O23" s="6" t="str">
        <x:f>IF(I23="","",I23*N23)</x:f>
      </x:c>
      <x:c r="P23" s="6" t="str">
        <x:f>IF(COUNTA(I23:M23)=0,"À remplir",IF(COUNT(J23:M23)&lt;F23,"Séries incomplètes",IF(MIN(J23:INDEX(J23:M23,1,F23))&gt;=H23,"Augmenter poids","Conserver")))</x:f>
        <x:v>Séries incomplètes</x:v>
      </x:c>
      <x:c r="Q23" s="6" t="str"/>
    </x:row>
    <x:row r="24" ht="15" hidden="0" customHeight="1">
      <x:c r="A24" s="6" t="str">
        <x:v>2026-05-04</x:v>
      </x:c>
      <x:c r="B24" s="6" t="str">
        <x:v>Semaine 2</x:v>
      </x:c>
      <x:c r="C24" s="6" t="str">
        <x:v>Lundi</x:v>
      </x:c>
      <x:c r="D24" s="6" t="str">
        <x:v>Push</x:v>
      </x:c>
      <x:c r="E24" s="6" t="str">
        <x:v>Développé décliné haltères</x:v>
      </x:c>
      <x:c r="F24" s="6" t="n">
        <x:v>4</x:v>
      </x:c>
      <x:c r="G24" s="6" t="str">
        <x:v>6–10</x:v>
      </x:c>
      <x:c r="H24" s="6" t="n">
        <x:v>10</x:v>
      </x:c>
      <x:c r="I24" s="6" t="str"/>
      <x:c r="J24" s="6" t="str"/>
      <x:c r="K24" s="6" t="str"/>
      <x:c r="L24" s="6" t="str"/>
      <x:c r="M24" s="6" t="str"/>
      <x:c r="N24" s="6" t="n">
        <x:f>SUM(J24:M24)</x:f>
        <x:v>0</x:v>
      </x:c>
      <x:c r="O24" s="6" t="str">
        <x:f>IF(I24="","",I24*N24)</x:f>
      </x:c>
      <x:c r="P24" s="6" t="str">
        <x:f>IF(COUNTA(I24:M24)=0,"À remplir",IF(COUNT(J24:M24)&lt;F24,"Séries incomplètes",IF(MIN(J24:INDEX(J24:M24,1,F24))&gt;=H24,"Augmenter poids","Conserver")))</x:f>
        <x:v>Séries incomplètes</x:v>
      </x:c>
      <x:c r="Q24" s="6" t="str"/>
    </x:row>
    <x:row r="25" ht="15" hidden="0" customHeight="1">
      <x:c r="A25" s="6" t="str">
        <x:v>2026-05-04</x:v>
      </x:c>
      <x:c r="B25" s="6" t="str">
        <x:v>Semaine 2</x:v>
      </x:c>
      <x:c r="C25" s="6" t="str">
        <x:v>Lundi</x:v>
      </x:c>
      <x:c r="D25" s="6" t="str">
        <x:v>Push</x:v>
      </x:c>
      <x:c r="E25" s="6" t="str">
        <x:v>Développé militaire haltères</x:v>
      </x:c>
      <x:c r="F25" s="6" t="n">
        <x:v>4</x:v>
      </x:c>
      <x:c r="G25" s="6" t="str">
        <x:v>6–10</x:v>
      </x:c>
      <x:c r="H25" s="6" t="n">
        <x:v>10</x:v>
      </x:c>
      <x:c r="I25" s="6" t="str"/>
      <x:c r="J25" s="6" t="str"/>
      <x:c r="K25" s="6" t="str"/>
      <x:c r="L25" s="6" t="str"/>
      <x:c r="M25" s="6" t="str"/>
      <x:c r="N25" s="6" t="n">
        <x:f>SUM(J25:M25)</x:f>
        <x:v>0</x:v>
      </x:c>
      <x:c r="O25" s="6" t="str">
        <x:f>IF(I25="","",I25*N25)</x:f>
      </x:c>
      <x:c r="P25" s="6" t="str">
        <x:f>IF(COUNTA(I25:M25)=0,"À remplir",IF(COUNT(J25:M25)&lt;F25,"Séries incomplètes",IF(MIN(J25:INDEX(J25:M25,1,F25))&gt;=H25,"Augmenter poids","Conserver")))</x:f>
        <x:v>Séries incomplètes</x:v>
      </x:c>
      <x:c r="Q25" s="6" t="str"/>
    </x:row>
    <x:row r="26" ht="15" hidden="0" customHeight="1">
      <x:c r="A26" s="6" t="str">
        <x:v>2026-05-04</x:v>
      </x:c>
      <x:c r="B26" s="6" t="str">
        <x:v>Semaine 2</x:v>
      </x:c>
      <x:c r="C26" s="6" t="str">
        <x:v>Lundi</x:v>
      </x:c>
      <x:c r="D26" s="6" t="str">
        <x:v>Push</x:v>
      </x:c>
      <x:c r="E26" s="6" t="str">
        <x:v>Élévations latérales inclinées</x:v>
      </x:c>
      <x:c r="F26" s="6" t="n">
        <x:v>3</x:v>
      </x:c>
      <x:c r="G26" s="6" t="str">
        <x:v>12–15</x:v>
      </x:c>
      <x:c r="H26" s="6" t="n">
        <x:v>15</x:v>
      </x:c>
      <x:c r="I26" s="6" t="str"/>
      <x:c r="J26" s="6" t="str"/>
      <x:c r="K26" s="6" t="str"/>
      <x:c r="L26" s="6" t="str"/>
      <x:c r="M26" s="6" t="str"/>
      <x:c r="N26" s="6" t="n">
        <x:f>SUM(J26:M26)</x:f>
        <x:v>0</x:v>
      </x:c>
      <x:c r="O26" s="6" t="str">
        <x:f>IF(I26="","",I26*N26)</x:f>
      </x:c>
      <x:c r="P26" s="6" t="str">
        <x:f>IF(COUNTA(I26:M26)=0,"À remplir",IF(COUNT(J26:M26)&lt;F26,"Séries incomplètes",IF(MIN(J26:INDEX(J26:M26,1,F26))&gt;=H26,"Augmenter poids","Conserver")))</x:f>
        <x:v>Séries incomplètes</x:v>
      </x:c>
      <x:c r="Q26" s="6" t="str"/>
    </x:row>
    <x:row r="27" ht="15" hidden="0" customHeight="1">
      <x:c r="A27" s="6" t="str">
        <x:v>2026-05-04</x:v>
      </x:c>
      <x:c r="B27" s="6" t="str">
        <x:v>Semaine 2</x:v>
      </x:c>
      <x:c r="C27" s="6" t="str">
        <x:v>Lundi</x:v>
      </x:c>
      <x:c r="D27" s="6" t="str">
        <x:v>Push</x:v>
      </x:c>
      <x:c r="E27" s="6" t="str">
        <x:v>Extension triceps au front haltère</x:v>
      </x:c>
      <x:c r="F27" s="6" t="n">
        <x:v>3</x:v>
      </x:c>
      <x:c r="G27" s="6" t="str">
        <x:v>10–15</x:v>
      </x:c>
      <x:c r="H27" s="6" t="n">
        <x:v>15</x:v>
      </x:c>
      <x:c r="I27" s="6" t="str"/>
      <x:c r="J27" s="6" t="str"/>
      <x:c r="K27" s="6" t="str"/>
      <x:c r="L27" s="6" t="str"/>
      <x:c r="M27" s="6" t="str"/>
      <x:c r="N27" s="6" t="n">
        <x:f>SUM(J27:M27)</x:f>
        <x:v>0</x:v>
      </x:c>
      <x:c r="O27" s="6" t="str">
        <x:f>IF(I27="","",I27*N27)</x:f>
      </x:c>
      <x:c r="P27" s="6" t="str">
        <x:f>IF(COUNTA(I27:M27)=0,"À remplir",IF(COUNT(J27:M27)&lt;F27,"Séries incomplètes",IF(MIN(J27:INDEX(J27:M27,1,F27))&gt;=H27,"Augmenter poids","Conserver")))</x:f>
        <x:v>Séries incomplètes</x:v>
      </x:c>
      <x:c r="Q27" s="6" t="str"/>
    </x:row>
    <x:row r="28" ht="15" hidden="0" customHeight="1">
      <x:c r="A28" s="6" t="str">
        <x:v>2026-05-05</x:v>
      </x:c>
      <x:c r="B28" s="6" t="str">
        <x:v>Semaine 2</x:v>
      </x:c>
      <x:c r="C28" s="6" t="str">
        <x:v>Mardi</x:v>
      </x:c>
      <x:c r="D28" s="6" t="str">
        <x:v>Pull</x:v>
      </x:c>
      <x:c r="E28" s="6" t="str">
        <x:v>Rowing haltère</x:v>
      </x:c>
      <x:c r="F28" s="6" t="n">
        <x:v>4</x:v>
      </x:c>
      <x:c r="G28" s="6" t="str">
        <x:v>8–12</x:v>
      </x:c>
      <x:c r="H28" s="6" t="n">
        <x:v>12</x:v>
      </x:c>
      <x:c r="I28" s="6" t="str"/>
      <x:c r="J28" s="6" t="str"/>
      <x:c r="K28" s="6" t="str"/>
      <x:c r="L28" s="6" t="str"/>
      <x:c r="M28" s="6" t="str"/>
      <x:c r="N28" s="6" t="n">
        <x:f>SUM(J28:M28)</x:f>
        <x:v>0</x:v>
      </x:c>
      <x:c r="O28" s="6" t="str">
        <x:f>IF(I28="","",I28*N28)</x:f>
      </x:c>
      <x:c r="P28" s="6" t="str">
        <x:f>IF(COUNTA(I28:M28)=0,"À remplir",IF(COUNT(J28:M28)&lt;F28,"Séries incomplètes",IF(MIN(J28:INDEX(J28:M28,1,F28))&gt;=H28,"Augmenter poids","Conserver")))</x:f>
        <x:v>Séries incomplètes</x:v>
      </x:c>
      <x:c r="Q28" s="6" t="str"/>
    </x:row>
    <x:row r="29" ht="15" hidden="0" customHeight="1">
      <x:c r="A29" s="6" t="str">
        <x:v>2026-05-05</x:v>
      </x:c>
      <x:c r="B29" s="6" t="str">
        <x:v>Semaine 2</x:v>
      </x:c>
      <x:c r="C29" s="6" t="str">
        <x:v>Mardi</x:v>
      </x:c>
      <x:c r="D29" s="6" t="str">
        <x:v>Pull</x:v>
      </x:c>
      <x:c r="E29" s="6" t="str">
        <x:v>Pec deck inversé / oiseau haltères</x:v>
      </x:c>
      <x:c r="F29" s="6" t="n">
        <x:v>3</x:v>
      </x:c>
      <x:c r="G29" s="6" t="str">
        <x:v>12–15</x:v>
      </x:c>
      <x:c r="H29" s="6" t="n">
        <x:v>15</x:v>
      </x:c>
      <x:c r="I29" s="6" t="str"/>
      <x:c r="J29" s="6" t="str"/>
      <x:c r="K29" s="6" t="str"/>
      <x:c r="L29" s="6" t="str"/>
      <x:c r="M29" s="6" t="str"/>
      <x:c r="N29" s="6" t="n">
        <x:f>SUM(J29:M29)</x:f>
        <x:v>0</x:v>
      </x:c>
      <x:c r="O29" s="6" t="str">
        <x:f>IF(I29="","",I29*N29)</x:f>
      </x:c>
      <x:c r="P29" s="6" t="str">
        <x:f>IF(COUNTA(I29:M29)=0,"À remplir",IF(COUNT(J29:M29)&lt;F29,"Séries incomplètes",IF(MIN(J29:INDEX(J29:M29,1,F29))&gt;=H29,"Augmenter poids","Conserver")))</x:f>
        <x:v>Séries incomplètes</x:v>
      </x:c>
      <x:c r="Q29" s="6" t="str"/>
    </x:row>
    <x:row r="30" ht="15" hidden="0" customHeight="1">
      <x:c r="A30" s="6" t="str">
        <x:v>2026-05-05</x:v>
      </x:c>
      <x:c r="B30" s="6" t="str">
        <x:v>Semaine 2</x:v>
      </x:c>
      <x:c r="C30" s="6" t="str">
        <x:v>Mardi</x:v>
      </x:c>
      <x:c r="D30" s="6" t="str">
        <x:v>Pull</x:v>
      </x:c>
      <x:c r="E30" s="6" t="str">
        <x:v>Curl incliné haltères</x:v>
      </x:c>
      <x:c r="F30" s="6" t="n">
        <x:v>3</x:v>
      </x:c>
      <x:c r="G30" s="6" t="str">
        <x:v>10–12</x:v>
      </x:c>
      <x:c r="H30" s="6" t="n">
        <x:v>12</x:v>
      </x:c>
      <x:c r="I30" s="6" t="str"/>
      <x:c r="J30" s="6" t="str"/>
      <x:c r="K30" s="6" t="str"/>
      <x:c r="L30" s="6" t="str"/>
      <x:c r="M30" s="6" t="str"/>
      <x:c r="N30" s="6" t="n">
        <x:f>SUM(J30:M30)</x:f>
        <x:v>0</x:v>
      </x:c>
      <x:c r="O30" s="6" t="str">
        <x:f>IF(I30="","",I30*N30)</x:f>
      </x:c>
      <x:c r="P30" s="6" t="str">
        <x:f>IF(COUNTA(I30:M30)=0,"À remplir",IF(COUNT(J30:M30)&lt;F30,"Séries incomplètes",IF(MIN(J30:INDEX(J30:M30,1,F30))&gt;=H30,"Augmenter poids","Conserver")))</x:f>
        <x:v>Séries incomplètes</x:v>
      </x:c>
      <x:c r="Q30" s="6" t="str"/>
    </x:row>
    <x:row r="31" ht="15" hidden="0" customHeight="1">
      <x:c r="A31" s="6" t="str">
        <x:v>2026-05-05</x:v>
      </x:c>
      <x:c r="B31" s="6" t="str">
        <x:v>Semaine 2</x:v>
      </x:c>
      <x:c r="C31" s="6" t="str">
        <x:v>Mardi</x:v>
      </x:c>
      <x:c r="D31" s="6" t="str">
        <x:v>Pull</x:v>
      </x:c>
      <x:c r="E31" s="6" t="str">
        <x:v>Spider curl haltères</x:v>
      </x:c>
      <x:c r="F31" s="6" t="n">
        <x:v>3</x:v>
      </x:c>
      <x:c r="G31" s="6" t="str">
        <x:v>10–12</x:v>
      </x:c>
      <x:c r="H31" s="6" t="n">
        <x:v>12</x:v>
      </x:c>
      <x:c r="I31" s="6" t="str"/>
      <x:c r="J31" s="6" t="str"/>
      <x:c r="K31" s="6" t="str"/>
      <x:c r="L31" s="6" t="str"/>
      <x:c r="M31" s="6" t="str"/>
      <x:c r="N31" s="6" t="n">
        <x:f>SUM(J31:M31)</x:f>
        <x:v>0</x:v>
      </x:c>
      <x:c r="O31" s="6" t="str">
        <x:f>IF(I31="","",I31*N31)</x:f>
      </x:c>
      <x:c r="P31" s="6" t="str">
        <x:f>IF(COUNTA(I31:M31)=0,"À remplir",IF(COUNT(J31:M31)&lt;F31,"Séries incomplètes",IF(MIN(J31:INDEX(J31:M31,1,F31))&gt;=H31,"Augmenter poids","Conserver")))</x:f>
        <x:v>Séries incomplètes</x:v>
      </x:c>
      <x:c r="Q31" s="6" t="str"/>
    </x:row>
    <x:row r="32" ht="15" hidden="0" customHeight="1">
      <x:c r="A32" s="6" t="str">
        <x:v>2026-05-06</x:v>
      </x:c>
      <x:c r="B32" s="6" t="str">
        <x:v>Semaine 2</x:v>
      </x:c>
      <x:c r="C32" s="6" t="str">
        <x:v>Mercredi</x:v>
      </x:c>
      <x:c r="D32" s="6" t="str">
        <x:v>Jambes</x:v>
      </x:c>
      <x:c r="E32" s="6" t="str">
        <x:v>Goblet squat</x:v>
      </x:c>
      <x:c r="F32" s="6" t="n">
        <x:v>4</x:v>
      </x:c>
      <x:c r="G32" s="6" t="str">
        <x:v>10–20</x:v>
      </x:c>
      <x:c r="H32" s="6" t="n">
        <x:v>20</x:v>
      </x:c>
      <x:c r="I32" s="6" t="str"/>
      <x:c r="J32" s="6" t="str"/>
      <x:c r="K32" s="6" t="str"/>
      <x:c r="L32" s="6" t="str"/>
      <x:c r="M32" s="6" t="str"/>
      <x:c r="N32" s="6" t="n">
        <x:f>SUM(J32:M32)</x:f>
        <x:v>0</x:v>
      </x:c>
      <x:c r="O32" s="6" t="str">
        <x:f>IF(I32="","",I32*N32)</x:f>
      </x:c>
      <x:c r="P32" s="6" t="str">
        <x:f>IF(COUNTA(I32:M32)=0,"À remplir",IF(COUNT(J32:M32)&lt;F32,"Séries incomplètes",IF(MIN(J32:INDEX(J32:M32,1,F32))&gt;=H32,"Augmenter poids","Conserver")))</x:f>
        <x:v>Séries incomplètes</x:v>
      </x:c>
      <x:c r="Q32" s="6" t="str"/>
    </x:row>
    <x:row r="33" ht="15" hidden="0" customHeight="1">
      <x:c r="A33" s="6" t="str">
        <x:v>2026-05-06</x:v>
      </x:c>
      <x:c r="B33" s="6" t="str">
        <x:v>Semaine 2</x:v>
      </x:c>
      <x:c r="C33" s="6" t="str">
        <x:v>Mercredi</x:v>
      </x:c>
      <x:c r="D33" s="6" t="str">
        <x:v>Jambes</x:v>
      </x:c>
      <x:c r="E33" s="6" t="str">
        <x:v>Fentes haltères</x:v>
      </x:c>
      <x:c r="F33" s="6" t="n">
        <x:v>3</x:v>
      </x:c>
      <x:c r="G33" s="6" t="str">
        <x:v>10–15 / jambe</x:v>
      </x:c>
      <x:c r="H33" s="6" t="n">
        <x:v>15</x:v>
      </x:c>
      <x:c r="I33" s="6" t="str"/>
      <x:c r="J33" s="6" t="str"/>
      <x:c r="K33" s="6" t="str"/>
      <x:c r="L33" s="6" t="str"/>
      <x:c r="M33" s="6" t="str"/>
      <x:c r="N33" s="6" t="n">
        <x:f>SUM(J33:M33)</x:f>
        <x:v>0</x:v>
      </x:c>
      <x:c r="O33" s="6" t="str">
        <x:f>IF(I33="","",I33*N33)</x:f>
      </x:c>
      <x:c r="P33" s="6" t="str">
        <x:f>IF(COUNTA(I33:M33)=0,"À remplir",IF(COUNT(J33:M33)&lt;F33,"Séries incomplètes",IF(MIN(J33:INDEX(J33:M33,1,F33))&gt;=H33,"Augmenter poids","Conserver")))</x:f>
        <x:v>Séries incomplètes</x:v>
      </x:c>
      <x:c r="Q33" s="6" t="str"/>
    </x:row>
    <x:row r="34" ht="15" hidden="0" customHeight="1">
      <x:c r="A34" s="6" t="str">
        <x:v>2026-05-06</x:v>
      </x:c>
      <x:c r="B34" s="6" t="str">
        <x:v>Semaine 2</x:v>
      </x:c>
      <x:c r="C34" s="6" t="str">
        <x:v>Mercredi</x:v>
      </x:c>
      <x:c r="D34" s="6" t="str">
        <x:v>Jambes</x:v>
      </x:c>
      <x:c r="E34" s="6" t="str">
        <x:v>Soulevé de terre jambes tendues haltères</x:v>
      </x:c>
      <x:c r="F34" s="6" t="n">
        <x:v>3</x:v>
      </x:c>
      <x:c r="G34" s="6" t="str">
        <x:v>10–15</x:v>
      </x:c>
      <x:c r="H34" s="6" t="n">
        <x:v>15</x:v>
      </x:c>
      <x:c r="I34" s="6" t="str"/>
      <x:c r="J34" s="6" t="str"/>
      <x:c r="K34" s="6" t="str"/>
      <x:c r="L34" s="6" t="str"/>
      <x:c r="M34" s="6" t="str"/>
      <x:c r="N34" s="6" t="n">
        <x:f>SUM(J34:M34)</x:f>
        <x:v>0</x:v>
      </x:c>
      <x:c r="O34" s="6" t="str">
        <x:f>IF(I34="","",I34*N34)</x:f>
      </x:c>
      <x:c r="P34" s="6" t="str">
        <x:f>IF(COUNTA(I34:M34)=0,"À remplir",IF(COUNT(J34:M34)&lt;F34,"Séries incomplètes",IF(MIN(J34:INDEX(J34:M34,1,F34))&gt;=H34,"Augmenter poids","Conserver")))</x:f>
        <x:v>Séries incomplètes</x:v>
      </x:c>
      <x:c r="Q34" s="6" t="str"/>
    </x:row>
    <x:row r="35" ht="15" hidden="0" customHeight="1">
      <x:c r="A35" s="6" t="str">
        <x:v>2026-05-08</x:v>
      </x:c>
      <x:c r="B35" s="6" t="str">
        <x:v>Semaine 2</x:v>
      </x:c>
      <x:c r="C35" s="6" t="str">
        <x:v>Vendredi</x:v>
      </x:c>
      <x:c r="D35" s="6" t="str">
        <x:v>Haut du corps</x:v>
      </x:c>
      <x:c r="E35" s="6" t="str">
        <x:v>Rowing haltère</x:v>
      </x:c>
      <x:c r="F35" s="6" t="n">
        <x:v>3</x:v>
      </x:c>
      <x:c r="G35" s="6" t="str">
        <x:v>8–12</x:v>
      </x:c>
      <x:c r="H35" s="6" t="n">
        <x:v>12</x:v>
      </x:c>
      <x:c r="I35" s="6" t="str"/>
      <x:c r="J35" s="6" t="str"/>
      <x:c r="K35" s="6" t="str"/>
      <x:c r="L35" s="6" t="str"/>
      <x:c r="M35" s="6" t="str"/>
      <x:c r="N35" s="6" t="n">
        <x:f>SUM(J35:M35)</x:f>
        <x:v>0</x:v>
      </x:c>
      <x:c r="O35" s="6" t="str">
        <x:f>IF(I35="","",I35*N35)</x:f>
      </x:c>
      <x:c r="P35" s="6" t="str">
        <x:f>IF(COUNTA(I35:M35)=0,"À remplir",IF(COUNT(J35:M35)&lt;F35,"Séries incomplètes",IF(MIN(J35:INDEX(J35:M35,1,F35))&gt;=H35,"Augmenter poids","Conserver")))</x:f>
        <x:v>Séries incomplètes</x:v>
      </x:c>
      <x:c r="Q35" s="6" t="str"/>
    </x:row>
    <x:row r="36" ht="15" hidden="0" customHeight="1">
      <x:c r="A36" s="6" t="str">
        <x:v>2026-05-08</x:v>
      </x:c>
      <x:c r="B36" s="6" t="str">
        <x:v>Semaine 2</x:v>
      </x:c>
      <x:c r="C36" s="6" t="str">
        <x:v>Vendredi</x:v>
      </x:c>
      <x:c r="D36" s="6" t="str">
        <x:v>Haut du corps</x:v>
      </x:c>
      <x:c r="E36" s="6" t="str">
        <x:v>Développé décliné haltères</x:v>
      </x:c>
      <x:c r="F36" s="6" t="n">
        <x:v>3</x:v>
      </x:c>
      <x:c r="G36" s="6" t="str">
        <x:v>8–12</x:v>
      </x:c>
      <x:c r="H36" s="6" t="n">
        <x:v>12</x:v>
      </x:c>
      <x:c r="I36" s="6" t="str"/>
      <x:c r="J36" s="6" t="str"/>
      <x:c r="K36" s="6" t="str"/>
      <x:c r="L36" s="6" t="str"/>
      <x:c r="M36" s="6" t="str"/>
      <x:c r="N36" s="6" t="n">
        <x:f>SUM(J36:M36)</x:f>
        <x:v>0</x:v>
      </x:c>
      <x:c r="O36" s="6" t="str">
        <x:f>IF(I36="","",I36*N36)</x:f>
      </x:c>
      <x:c r="P36" s="6" t="str">
        <x:f>IF(COUNTA(I36:M36)=0,"À remplir",IF(COUNT(J36:M36)&lt;F36,"Séries incomplètes",IF(MIN(J36:INDEX(J36:M36,1,F36))&gt;=H36,"Augmenter poids","Conserver")))</x:f>
        <x:v>Séries incomplètes</x:v>
      </x:c>
      <x:c r="Q36" s="6" t="str"/>
    </x:row>
    <x:row r="37" ht="15" hidden="0" customHeight="1">
      <x:c r="A37" s="6" t="str">
        <x:v>2026-05-08</x:v>
      </x:c>
      <x:c r="B37" s="6" t="str">
        <x:v>Semaine 2</x:v>
      </x:c>
      <x:c r="C37" s="6" t="str">
        <x:v>Vendredi</x:v>
      </x:c>
      <x:c r="D37" s="6" t="str">
        <x:v>Haut du corps</x:v>
      </x:c>
      <x:c r="E37" s="6" t="str">
        <x:v>Développé militaire haltères</x:v>
      </x:c>
      <x:c r="F37" s="6" t="n">
        <x:v>3</x:v>
      </x:c>
      <x:c r="G37" s="6" t="str">
        <x:v>8–12</x:v>
      </x:c>
      <x:c r="H37" s="6" t="n">
        <x:v>12</x:v>
      </x:c>
      <x:c r="I37" s="6" t="str"/>
      <x:c r="J37" s="6" t="str"/>
      <x:c r="K37" s="6" t="str"/>
      <x:c r="L37" s="6" t="str"/>
      <x:c r="M37" s="6" t="str"/>
      <x:c r="N37" s="6" t="n">
        <x:f>SUM(J37:M37)</x:f>
        <x:v>0</x:v>
      </x:c>
      <x:c r="O37" s="6" t="str">
        <x:f>IF(I37="","",I37*N37)</x:f>
      </x:c>
      <x:c r="P37" s="6" t="str">
        <x:f>IF(COUNTA(I37:M37)=0,"À remplir",IF(COUNT(J37:M37)&lt;F37,"Séries incomplètes",IF(MIN(J37:INDEX(J37:M37,1,F37))&gt;=H37,"Augmenter poids","Conserver")))</x:f>
        <x:v>Séries incomplètes</x:v>
      </x:c>
      <x:c r="Q37" s="6" t="str"/>
    </x:row>
    <x:row r="38" ht="15" hidden="0" customHeight="1">
      <x:c r="A38" s="6" t="str">
        <x:v>2026-05-08</x:v>
      </x:c>
      <x:c r="B38" s="6" t="str">
        <x:v>Semaine 2</x:v>
      </x:c>
      <x:c r="C38" s="6" t="str">
        <x:v>Vendredi</x:v>
      </x:c>
      <x:c r="D38" s="6" t="str">
        <x:v>Haut du corps</x:v>
      </x:c>
      <x:c r="E38" s="6" t="str">
        <x:v>Élévations latérales inclinées</x:v>
      </x:c>
      <x:c r="F38" s="6" t="n">
        <x:v>3</x:v>
      </x:c>
      <x:c r="G38" s="6" t="str">
        <x:v>12–15</x:v>
      </x:c>
      <x:c r="H38" s="6" t="n">
        <x:v>15</x:v>
      </x:c>
      <x:c r="I38" s="6" t="str"/>
      <x:c r="J38" s="6" t="str"/>
      <x:c r="K38" s="6" t="str"/>
      <x:c r="L38" s="6" t="str"/>
      <x:c r="M38" s="6" t="str"/>
      <x:c r="N38" s="6" t="n">
        <x:f>SUM(J38:M38)</x:f>
        <x:v>0</x:v>
      </x:c>
      <x:c r="O38" s="6" t="str">
        <x:f>IF(I38="","",I38*N38)</x:f>
      </x:c>
      <x:c r="P38" s="6" t="str">
        <x:f>IF(COUNTA(I38:M38)=0,"À remplir",IF(COUNT(J38:M38)&lt;F38,"Séries incomplètes",IF(MIN(J38:INDEX(J38:M38,1,F38))&gt;=H38,"Augmenter poids","Conserver")))</x:f>
        <x:v>Séries incomplètes</x:v>
      </x:c>
      <x:c r="Q38" s="6" t="str"/>
    </x:row>
    <x:row r="39" ht="15" hidden="0" customHeight="1">
      <x:c r="A39" s="6" t="str">
        <x:v>2026-05-08</x:v>
      </x:c>
      <x:c r="B39" s="6" t="str">
        <x:v>Semaine 2</x:v>
      </x:c>
      <x:c r="C39" s="6" t="str">
        <x:v>Vendredi</x:v>
      </x:c>
      <x:c r="D39" s="6" t="str">
        <x:v>Haut du corps</x:v>
      </x:c>
      <x:c r="E39" s="6" t="str">
        <x:v>Curl incliné haltères</x:v>
      </x:c>
      <x:c r="F39" s="6" t="n">
        <x:v>2</x:v>
      </x:c>
      <x:c r="G39" s="6" t="str">
        <x:v>10–12</x:v>
      </x:c>
      <x:c r="H39" s="6" t="n">
        <x:v>12</x:v>
      </x:c>
      <x:c r="I39" s="6" t="str"/>
      <x:c r="J39" s="6" t="str"/>
      <x:c r="K39" s="6" t="str"/>
      <x:c r="L39" s="6" t="str"/>
      <x:c r="M39" s="6" t="str"/>
      <x:c r="N39" s="6" t="n">
        <x:f>SUM(J39:M39)</x:f>
        <x:v>0</x:v>
      </x:c>
      <x:c r="O39" s="6" t="str">
        <x:f>IF(I39="","",I39*N39)</x:f>
      </x:c>
      <x:c r="P39" s="6" t="str">
        <x:f>IF(COUNTA(I39:M39)=0,"À remplir",IF(COUNT(J39:M39)&lt;F39,"Séries incomplètes",IF(MIN(J39:INDEX(J39:M39,1,F39))&gt;=H39,"Augmenter poids","Conserver")))</x:f>
        <x:v>Séries incomplètes</x:v>
      </x:c>
      <x:c r="Q39" s="6" t="str"/>
    </x:row>
    <x:row r="40" ht="15" hidden="0" customHeight="1">
      <x:c r="A40" s="6" t="str">
        <x:v>2026-05-08</x:v>
      </x:c>
      <x:c r="B40" s="6" t="str">
        <x:v>Semaine 2</x:v>
      </x:c>
      <x:c r="C40" s="6" t="str">
        <x:v>Vendredi</x:v>
      </x:c>
      <x:c r="D40" s="6" t="str">
        <x:v>Haut du corps</x:v>
      </x:c>
      <x:c r="E40" s="6" t="str">
        <x:v>Extension triceps au front haltère</x:v>
      </x:c>
      <x:c r="F40" s="6" t="n">
        <x:v>2</x:v>
      </x:c>
      <x:c r="G40" s="6" t="str">
        <x:v>10–15</x:v>
      </x:c>
      <x:c r="H40" s="6" t="n">
        <x:v>15</x:v>
      </x:c>
      <x:c r="I40" s="6" t="str"/>
      <x:c r="J40" s="6" t="str"/>
      <x:c r="K40" s="6" t="str"/>
      <x:c r="L40" s="6" t="str"/>
      <x:c r="M40" s="6" t="str"/>
      <x:c r="N40" s="6" t="n">
        <x:f>SUM(J40:M40)</x:f>
        <x:v>0</x:v>
      </x:c>
      <x:c r="O40" s="6" t="str">
        <x:f>IF(I40="","",I40*N40)</x:f>
      </x:c>
      <x:c r="P40" s="6" t="str">
        <x:f>IF(COUNTA(I40:M40)=0,"À remplir",IF(COUNT(J40:M40)&lt;F40,"Séries incomplètes",IF(MIN(J40:INDEX(J40:M40,1,F40))&gt;=H40,"Augmenter poids","Conserver")))</x:f>
        <x:v>Séries incomplètes</x:v>
      </x:c>
      <x:c r="Q40" s="6" t="str"/>
    </x:row>
    <x:row r="41" ht="15" hidden="0" customHeight="1">
      <x:c r="A41" s="6" t="str">
        <x:v>2026-05-09</x:v>
      </x:c>
      <x:c r="B41" s="6" t="str">
        <x:v>Semaine 2</x:v>
      </x:c>
      <x:c r="C41" s="6" t="str">
        <x:v>Samedi</x:v>
      </x:c>
      <x:c r="D41" s="6" t="str">
        <x:v>Bras + épaules</x:v>
      </x:c>
      <x:c r="E41" s="6" t="str">
        <x:v>Élévations latérales inclinées</x:v>
      </x:c>
      <x:c r="F41" s="6" t="n">
        <x:v>4</x:v>
      </x:c>
      <x:c r="G41" s="6" t="str">
        <x:v>12–20</x:v>
      </x:c>
      <x:c r="H41" s="6" t="n">
        <x:v>20</x:v>
      </x:c>
      <x:c r="I41" s="6" t="str"/>
      <x:c r="J41" s="6" t="str"/>
      <x:c r="K41" s="6" t="str"/>
      <x:c r="L41" s="6" t="str"/>
      <x:c r="M41" s="6" t="str"/>
      <x:c r="N41" s="6" t="n">
        <x:f>SUM(J41:M41)</x:f>
        <x:v>0</x:v>
      </x:c>
      <x:c r="O41" s="6" t="str">
        <x:f>IF(I41="","",I41*N41)</x:f>
      </x:c>
      <x:c r="P41" s="6" t="str">
        <x:f>IF(COUNTA(I41:M41)=0,"À remplir",IF(COUNT(J41:M41)&lt;F41,"Séries incomplètes",IF(MIN(J41:INDEX(J41:M41,1,F41))&gt;=H41,"Augmenter poids","Conserver")))</x:f>
        <x:v>Séries incomplètes</x:v>
      </x:c>
      <x:c r="Q41" s="6" t="str"/>
    </x:row>
    <x:row r="42" ht="15" hidden="0" customHeight="1">
      <x:c r="A42" s="6" t="str">
        <x:v>2026-05-09</x:v>
      </x:c>
      <x:c r="B42" s="6" t="str">
        <x:v>Semaine 2</x:v>
      </x:c>
      <x:c r="C42" s="6" t="str">
        <x:v>Samedi</x:v>
      </x:c>
      <x:c r="D42" s="6" t="str">
        <x:v>Bras + épaules</x:v>
      </x:c>
      <x:c r="E42" s="6" t="str">
        <x:v>Pec deck inversé / oiseau haltères</x:v>
      </x:c>
      <x:c r="F42" s="6" t="n">
        <x:v>3</x:v>
      </x:c>
      <x:c r="G42" s="6" t="str">
        <x:v>12–15</x:v>
      </x:c>
      <x:c r="H42" s="6" t="n">
        <x:v>15</x:v>
      </x:c>
      <x:c r="I42" s="6" t="str"/>
      <x:c r="J42" s="6" t="str"/>
      <x:c r="K42" s="6" t="str"/>
      <x:c r="L42" s="6" t="str"/>
      <x:c r="M42" s="6" t="str"/>
      <x:c r="N42" s="6" t="n">
        <x:f>SUM(J42:M42)</x:f>
        <x:v>0</x:v>
      </x:c>
      <x:c r="O42" s="6" t="str">
        <x:f>IF(I42="","",I42*N42)</x:f>
      </x:c>
      <x:c r="P42" s="6" t="str">
        <x:f>IF(COUNTA(I42:M42)=0,"À remplir",IF(COUNT(J42:M42)&lt;F42,"Séries incomplètes",IF(MIN(J42:INDEX(J42:M42,1,F42))&gt;=H42,"Augmenter poids","Conserver")))</x:f>
        <x:v>Séries incomplètes</x:v>
      </x:c>
      <x:c r="Q42" s="6" t="str"/>
    </x:row>
    <x:row r="43" ht="15" hidden="0" customHeight="1">
      <x:c r="A43" s="6" t="str">
        <x:v>2026-05-09</x:v>
      </x:c>
      <x:c r="B43" s="6" t="str">
        <x:v>Semaine 2</x:v>
      </x:c>
      <x:c r="C43" s="6" t="str">
        <x:v>Samedi</x:v>
      </x:c>
      <x:c r="D43" s="6" t="str">
        <x:v>Bras + épaules</x:v>
      </x:c>
      <x:c r="E43" s="6" t="str">
        <x:v>Spider curl haltères</x:v>
      </x:c>
      <x:c r="F43" s="6" t="n">
        <x:v>3</x:v>
      </x:c>
      <x:c r="G43" s="6" t="str">
        <x:v>10–12</x:v>
      </x:c>
      <x:c r="H43" s="6" t="n">
        <x:v>12</x:v>
      </x:c>
      <x:c r="I43" s="6" t="str"/>
      <x:c r="J43" s="6" t="str"/>
      <x:c r="K43" s="6" t="str"/>
      <x:c r="L43" s="6" t="str"/>
      <x:c r="M43" s="6" t="str"/>
      <x:c r="N43" s="6" t="n">
        <x:f>SUM(J43:M43)</x:f>
        <x:v>0</x:v>
      </x:c>
      <x:c r="O43" s="6" t="str">
        <x:f>IF(I43="","",I43*N43)</x:f>
      </x:c>
      <x:c r="P43" s="6" t="str">
        <x:f>IF(COUNTA(I43:M43)=0,"À remplir",IF(COUNT(J43:M43)&lt;F43,"Séries incomplètes",IF(MIN(J43:INDEX(J43:M43,1,F43))&gt;=H43,"Augmenter poids","Conserver")))</x:f>
        <x:v>Séries incomplètes</x:v>
      </x:c>
      <x:c r="Q43" s="6" t="str"/>
    </x:row>
    <x:row r="44" ht="15" hidden="0" customHeight="1">
      <x:c r="A44" s="6" t="str">
        <x:v>2026-05-09</x:v>
      </x:c>
      <x:c r="B44" s="6" t="str">
        <x:v>Semaine 2</x:v>
      </x:c>
      <x:c r="C44" s="6" t="str">
        <x:v>Samedi</x:v>
      </x:c>
      <x:c r="D44" s="6" t="str">
        <x:v>Bras + épaules</x:v>
      </x:c>
      <x:c r="E44" s="6" t="str">
        <x:v>Curl incliné haltères</x:v>
      </x:c>
      <x:c r="F44" s="6" t="n">
        <x:v>3</x:v>
      </x:c>
      <x:c r="G44" s="6" t="str">
        <x:v>10–12</x:v>
      </x:c>
      <x:c r="H44" s="6" t="n">
        <x:v>12</x:v>
      </x:c>
      <x:c r="I44" s="6" t="str"/>
      <x:c r="J44" s="6" t="str"/>
      <x:c r="K44" s="6" t="str"/>
      <x:c r="L44" s="6" t="str"/>
      <x:c r="M44" s="6" t="str"/>
      <x:c r="N44" s="6" t="n">
        <x:f>SUM(J44:M44)</x:f>
        <x:v>0</x:v>
      </x:c>
      <x:c r="O44" s="6" t="str">
        <x:f>IF(I44="","",I44*N44)</x:f>
      </x:c>
      <x:c r="P44" s="6" t="str">
        <x:f>IF(COUNTA(I44:M44)=0,"À remplir",IF(COUNT(J44:M44)&lt;F44,"Séries incomplètes",IF(MIN(J44:INDEX(J44:M44,1,F44))&gt;=H44,"Augmenter poids","Conserver")))</x:f>
        <x:v>Séries incomplètes</x:v>
      </x:c>
      <x:c r="Q44" s="6" t="str"/>
    </x:row>
    <x:row r="45" ht="15" hidden="0" customHeight="1">
      <x:c r="A45" s="6" t="str">
        <x:v>2026-05-09</x:v>
      </x:c>
      <x:c r="B45" s="6" t="str">
        <x:v>Semaine 2</x:v>
      </x:c>
      <x:c r="C45" s="6" t="str">
        <x:v>Samedi</x:v>
      </x:c>
      <x:c r="D45" s="6" t="str">
        <x:v>Bras + épaules</x:v>
      </x:c>
      <x:c r="E45" s="6" t="str">
        <x:v>Extension triceps au front haltère</x:v>
      </x:c>
      <x:c r="F45" s="6" t="n">
        <x:v>3</x:v>
      </x:c>
      <x:c r="G45" s="6" t="str">
        <x:v>10–15</x:v>
      </x:c>
      <x:c r="H45" s="6" t="n">
        <x:v>15</x:v>
      </x:c>
      <x:c r="I45" s="6" t="str"/>
      <x:c r="J45" s="6" t="str"/>
      <x:c r="K45" s="6" t="str"/>
      <x:c r="L45" s="6" t="str"/>
      <x:c r="M45" s="6" t="str"/>
      <x:c r="N45" s="6" t="n">
        <x:f>SUM(J45:M45)</x:f>
        <x:v>0</x:v>
      </x:c>
      <x:c r="O45" s="6" t="str">
        <x:f>IF(I45="","",I45*N45)</x:f>
      </x:c>
      <x:c r="P45" s="6" t="str">
        <x:f>IF(COUNTA(I45:M45)=0,"À remplir",IF(COUNT(J45:M45)&lt;F45,"Séries incomplètes",IF(MIN(J45:INDEX(J45:M45,1,F45))&gt;=H45,"Augmenter poids","Conserver")))</x:f>
        <x:v>Séries incomplètes</x:v>
      </x:c>
      <x:c r="Q45" s="6" t="str"/>
    </x:row>
    <x:row r="46" ht="15" hidden="0" customHeight="1">
      <x:c r="A46" s="6" t="str">
        <x:v>2026-05-11</x:v>
      </x:c>
      <x:c r="B46" s="6" t="str">
        <x:v>Semaine 3</x:v>
      </x:c>
      <x:c r="C46" s="6" t="str">
        <x:v>Lundi</x:v>
      </x:c>
      <x:c r="D46" s="6" t="str">
        <x:v>Push</x:v>
      </x:c>
      <x:c r="E46" s="6" t="str">
        <x:v>Développé décliné haltères</x:v>
      </x:c>
      <x:c r="F46" s="6" t="n">
        <x:v>4</x:v>
      </x:c>
      <x:c r="G46" s="6" t="str">
        <x:v>6–10</x:v>
      </x:c>
      <x:c r="H46" s="6" t="n">
        <x:v>10</x:v>
      </x:c>
      <x:c r="I46" s="6" t="str"/>
      <x:c r="J46" s="6" t="str"/>
      <x:c r="K46" s="6" t="str"/>
      <x:c r="L46" s="6" t="str"/>
      <x:c r="M46" s="6" t="str"/>
      <x:c r="N46" s="6" t="n">
        <x:f>SUM(J46:M46)</x:f>
        <x:v>0</x:v>
      </x:c>
      <x:c r="O46" s="6" t="str">
        <x:f>IF(I46="","",I46*N46)</x:f>
      </x:c>
      <x:c r="P46" s="6" t="str">
        <x:f>IF(COUNTA(I46:M46)=0,"À remplir",IF(COUNT(J46:M46)&lt;F46,"Séries incomplètes",IF(MIN(J46:INDEX(J46:M46,1,F46))&gt;=H46,"Augmenter poids","Conserver")))</x:f>
        <x:v>Séries incomplètes</x:v>
      </x:c>
      <x:c r="Q46" s="6" t="str"/>
    </x:row>
    <x:row r="47" ht="15" hidden="0" customHeight="1">
      <x:c r="A47" s="6" t="str">
        <x:v>2026-05-11</x:v>
      </x:c>
      <x:c r="B47" s="6" t="str">
        <x:v>Semaine 3</x:v>
      </x:c>
      <x:c r="C47" s="6" t="str">
        <x:v>Lundi</x:v>
      </x:c>
      <x:c r="D47" s="6" t="str">
        <x:v>Push</x:v>
      </x:c>
      <x:c r="E47" s="6" t="str">
        <x:v>Développé militaire haltères</x:v>
      </x:c>
      <x:c r="F47" s="6" t="n">
        <x:v>4</x:v>
      </x:c>
      <x:c r="G47" s="6" t="str">
        <x:v>6–10</x:v>
      </x:c>
      <x:c r="H47" s="6" t="n">
        <x:v>10</x:v>
      </x:c>
      <x:c r="I47" s="6" t="str"/>
      <x:c r="J47" s="6" t="str"/>
      <x:c r="K47" s="6" t="str"/>
      <x:c r="L47" s="6" t="str"/>
      <x:c r="M47" s="6" t="str"/>
      <x:c r="N47" s="6" t="n">
        <x:f>SUM(J47:M47)</x:f>
        <x:v>0</x:v>
      </x:c>
      <x:c r="O47" s="6" t="str">
        <x:f>IF(I47="","",I47*N47)</x:f>
      </x:c>
      <x:c r="P47" s="6" t="str">
        <x:f>IF(COUNTA(I47:M47)=0,"À remplir",IF(COUNT(J47:M47)&lt;F47,"Séries incomplètes",IF(MIN(J47:INDEX(J47:M47,1,F47))&gt;=H47,"Augmenter poids","Conserver")))</x:f>
        <x:v>Séries incomplètes</x:v>
      </x:c>
      <x:c r="Q47" s="6" t="str"/>
    </x:row>
    <x:row r="48" ht="15" hidden="0" customHeight="1">
      <x:c r="A48" s="6" t="str">
        <x:v>2026-05-11</x:v>
      </x:c>
      <x:c r="B48" s="6" t="str">
        <x:v>Semaine 3</x:v>
      </x:c>
      <x:c r="C48" s="6" t="str">
        <x:v>Lundi</x:v>
      </x:c>
      <x:c r="D48" s="6" t="str">
        <x:v>Push</x:v>
      </x:c>
      <x:c r="E48" s="6" t="str">
        <x:v>Élévations latérales inclinées</x:v>
      </x:c>
      <x:c r="F48" s="6" t="n">
        <x:v>3</x:v>
      </x:c>
      <x:c r="G48" s="6" t="str">
        <x:v>12–15</x:v>
      </x:c>
      <x:c r="H48" s="6" t="n">
        <x:v>15</x:v>
      </x:c>
      <x:c r="I48" s="6" t="str"/>
      <x:c r="J48" s="6" t="str"/>
      <x:c r="K48" s="6" t="str"/>
      <x:c r="L48" s="6" t="str"/>
      <x:c r="M48" s="6" t="str"/>
      <x:c r="N48" s="6" t="n">
        <x:f>SUM(J48:M48)</x:f>
        <x:v>0</x:v>
      </x:c>
      <x:c r="O48" s="6" t="str">
        <x:f>IF(I48="","",I48*N48)</x:f>
      </x:c>
      <x:c r="P48" s="6" t="str">
        <x:f>IF(COUNTA(I48:M48)=0,"À remplir",IF(COUNT(J48:M48)&lt;F48,"Séries incomplètes",IF(MIN(J48:INDEX(J48:M48,1,F48))&gt;=H48,"Augmenter poids","Conserver")))</x:f>
        <x:v>Séries incomplètes</x:v>
      </x:c>
      <x:c r="Q48" s="6" t="str"/>
    </x:row>
    <x:row r="49" ht="15" hidden="0" customHeight="1">
      <x:c r="A49" s="6" t="str">
        <x:v>2026-05-11</x:v>
      </x:c>
      <x:c r="B49" s="6" t="str">
        <x:v>Semaine 3</x:v>
      </x:c>
      <x:c r="C49" s="6" t="str">
        <x:v>Lundi</x:v>
      </x:c>
      <x:c r="D49" s="6" t="str">
        <x:v>Push</x:v>
      </x:c>
      <x:c r="E49" s="6" t="str">
        <x:v>Extension triceps au front haltère</x:v>
      </x:c>
      <x:c r="F49" s="6" t="n">
        <x:v>3</x:v>
      </x:c>
      <x:c r="G49" s="6" t="str">
        <x:v>10–15</x:v>
      </x:c>
      <x:c r="H49" s="6" t="n">
        <x:v>15</x:v>
      </x:c>
      <x:c r="I49" s="6" t="str"/>
      <x:c r="J49" s="6" t="str"/>
      <x:c r="K49" s="6" t="str"/>
      <x:c r="L49" s="6" t="str"/>
      <x:c r="M49" s="6" t="str"/>
      <x:c r="N49" s="6" t="n">
        <x:f>SUM(J49:M49)</x:f>
        <x:v>0</x:v>
      </x:c>
      <x:c r="O49" s="6" t="str">
        <x:f>IF(I49="","",I49*N49)</x:f>
      </x:c>
      <x:c r="P49" s="6" t="str">
        <x:f>IF(COUNTA(I49:M49)=0,"À remplir",IF(COUNT(J49:M49)&lt;F49,"Séries incomplètes",IF(MIN(J49:INDEX(J49:M49,1,F49))&gt;=H49,"Augmenter poids","Conserver")))</x:f>
        <x:v>Séries incomplètes</x:v>
      </x:c>
      <x:c r="Q49" s="6" t="str"/>
    </x:row>
    <x:row r="50" ht="15" hidden="0" customHeight="1">
      <x:c r="A50" s="6" t="str">
        <x:v>2026-05-12</x:v>
      </x:c>
      <x:c r="B50" s="6" t="str">
        <x:v>Semaine 3</x:v>
      </x:c>
      <x:c r="C50" s="6" t="str">
        <x:v>Mardi</x:v>
      </x:c>
      <x:c r="D50" s="6" t="str">
        <x:v>Pull</x:v>
      </x:c>
      <x:c r="E50" s="6" t="str">
        <x:v>Rowing haltère</x:v>
      </x:c>
      <x:c r="F50" s="6" t="n">
        <x:v>4</x:v>
      </x:c>
      <x:c r="G50" s="6" t="str">
        <x:v>8–12</x:v>
      </x:c>
      <x:c r="H50" s="6" t="n">
        <x:v>12</x:v>
      </x:c>
      <x:c r="I50" s="6" t="str"/>
      <x:c r="J50" s="6" t="str"/>
      <x:c r="K50" s="6" t="str"/>
      <x:c r="L50" s="6" t="str"/>
      <x:c r="M50" s="6" t="str"/>
      <x:c r="N50" s="6" t="n">
        <x:f>SUM(J50:M50)</x:f>
        <x:v>0</x:v>
      </x:c>
      <x:c r="O50" s="6" t="str">
        <x:f>IF(I50="","",I50*N50)</x:f>
      </x:c>
      <x:c r="P50" s="6" t="str">
        <x:f>IF(COUNTA(I50:M50)=0,"À remplir",IF(COUNT(J50:M50)&lt;F50,"Séries incomplètes",IF(MIN(J50:INDEX(J50:M50,1,F50))&gt;=H50,"Augmenter poids","Conserver")))</x:f>
        <x:v>Séries incomplètes</x:v>
      </x:c>
      <x:c r="Q50" s="6" t="str"/>
    </x:row>
    <x:row r="51" ht="15" hidden="0" customHeight="1">
      <x:c r="A51" s="6" t="str">
        <x:v>2026-05-12</x:v>
      </x:c>
      <x:c r="B51" s="6" t="str">
        <x:v>Semaine 3</x:v>
      </x:c>
      <x:c r="C51" s="6" t="str">
        <x:v>Mardi</x:v>
      </x:c>
      <x:c r="D51" s="6" t="str">
        <x:v>Pull</x:v>
      </x:c>
      <x:c r="E51" s="6" t="str">
        <x:v>Pec deck inversé / oiseau haltères</x:v>
      </x:c>
      <x:c r="F51" s="6" t="n">
        <x:v>3</x:v>
      </x:c>
      <x:c r="G51" s="6" t="str">
        <x:v>12–15</x:v>
      </x:c>
      <x:c r="H51" s="6" t="n">
        <x:v>15</x:v>
      </x:c>
      <x:c r="I51" s="6" t="str"/>
      <x:c r="J51" s="6" t="str"/>
      <x:c r="K51" s="6" t="str"/>
      <x:c r="L51" s="6" t="str"/>
      <x:c r="M51" s="6" t="str"/>
      <x:c r="N51" s="6" t="n">
        <x:f>SUM(J51:M51)</x:f>
        <x:v>0</x:v>
      </x:c>
      <x:c r="O51" s="6" t="str">
        <x:f>IF(I51="","",I51*N51)</x:f>
      </x:c>
      <x:c r="P51" s="6" t="str">
        <x:f>IF(COUNTA(I51:M51)=0,"À remplir",IF(COUNT(J51:M51)&lt;F51,"Séries incomplètes",IF(MIN(J51:INDEX(J51:M51,1,F51))&gt;=H51,"Augmenter poids","Conserver")))</x:f>
        <x:v>Séries incomplètes</x:v>
      </x:c>
      <x:c r="Q51" s="6" t="str"/>
    </x:row>
    <x:row r="52" ht="15" hidden="0" customHeight="1">
      <x:c r="A52" s="6" t="str">
        <x:v>2026-05-12</x:v>
      </x:c>
      <x:c r="B52" s="6" t="str">
        <x:v>Semaine 3</x:v>
      </x:c>
      <x:c r="C52" s="6" t="str">
        <x:v>Mardi</x:v>
      </x:c>
      <x:c r="D52" s="6" t="str">
        <x:v>Pull</x:v>
      </x:c>
      <x:c r="E52" s="6" t="str">
        <x:v>Curl incliné haltères</x:v>
      </x:c>
      <x:c r="F52" s="6" t="n">
        <x:v>3</x:v>
      </x:c>
      <x:c r="G52" s="6" t="str">
        <x:v>10–12</x:v>
      </x:c>
      <x:c r="H52" s="6" t="n">
        <x:v>12</x:v>
      </x:c>
      <x:c r="I52" s="6" t="str"/>
      <x:c r="J52" s="6" t="str"/>
      <x:c r="K52" s="6" t="str"/>
      <x:c r="L52" s="6" t="str"/>
      <x:c r="M52" s="6" t="str"/>
      <x:c r="N52" s="6" t="n">
        <x:f>SUM(J52:M52)</x:f>
        <x:v>0</x:v>
      </x:c>
      <x:c r="O52" s="6" t="str">
        <x:f>IF(I52="","",I52*N52)</x:f>
      </x:c>
      <x:c r="P52" s="6" t="str">
        <x:f>IF(COUNTA(I52:M52)=0,"À remplir",IF(COUNT(J52:M52)&lt;F52,"Séries incomplètes",IF(MIN(J52:INDEX(J52:M52,1,F52))&gt;=H52,"Augmenter poids","Conserver")))</x:f>
        <x:v>Séries incomplètes</x:v>
      </x:c>
      <x:c r="Q52" s="6" t="str"/>
    </x:row>
    <x:row r="53" ht="15" hidden="0" customHeight="1">
      <x:c r="A53" s="6" t="str">
        <x:v>2026-05-12</x:v>
      </x:c>
      <x:c r="B53" s="6" t="str">
        <x:v>Semaine 3</x:v>
      </x:c>
      <x:c r="C53" s="6" t="str">
        <x:v>Mardi</x:v>
      </x:c>
      <x:c r="D53" s="6" t="str">
        <x:v>Pull</x:v>
      </x:c>
      <x:c r="E53" s="6" t="str">
        <x:v>Spider curl haltères</x:v>
      </x:c>
      <x:c r="F53" s="6" t="n">
        <x:v>3</x:v>
      </x:c>
      <x:c r="G53" s="6" t="str">
        <x:v>10–12</x:v>
      </x:c>
      <x:c r="H53" s="6" t="n">
        <x:v>12</x:v>
      </x:c>
      <x:c r="I53" s="6" t="str"/>
      <x:c r="J53" s="6" t="str"/>
      <x:c r="K53" s="6" t="str"/>
      <x:c r="L53" s="6" t="str"/>
      <x:c r="M53" s="6" t="str"/>
      <x:c r="N53" s="6" t="n">
        <x:f>SUM(J53:M53)</x:f>
        <x:v>0</x:v>
      </x:c>
      <x:c r="O53" s="6" t="str">
        <x:f>IF(I53="","",I53*N53)</x:f>
      </x:c>
      <x:c r="P53" s="6" t="str">
        <x:f>IF(COUNTA(I53:M53)=0,"À remplir",IF(COUNT(J53:M53)&lt;F53,"Séries incomplètes",IF(MIN(J53:INDEX(J53:M53,1,F53))&gt;=H53,"Augmenter poids","Conserver")))</x:f>
        <x:v>Séries incomplètes</x:v>
      </x:c>
      <x:c r="Q53" s="6" t="str"/>
    </x:row>
    <x:row r="54" ht="15" hidden="0" customHeight="1">
      <x:c r="A54" s="6" t="str">
        <x:v>2026-05-13</x:v>
      </x:c>
      <x:c r="B54" s="6" t="str">
        <x:v>Semaine 3</x:v>
      </x:c>
      <x:c r="C54" s="6" t="str">
        <x:v>Mercredi</x:v>
      </x:c>
      <x:c r="D54" s="6" t="str">
        <x:v>Jambes</x:v>
      </x:c>
      <x:c r="E54" s="6" t="str">
        <x:v>Goblet squat</x:v>
      </x:c>
      <x:c r="F54" s="6" t="n">
        <x:v>4</x:v>
      </x:c>
      <x:c r="G54" s="6" t="str">
        <x:v>10–20</x:v>
      </x:c>
      <x:c r="H54" s="6" t="n">
        <x:v>20</x:v>
      </x:c>
      <x:c r="I54" s="6" t="str"/>
      <x:c r="J54" s="6" t="str"/>
      <x:c r="K54" s="6" t="str"/>
      <x:c r="L54" s="6" t="str"/>
      <x:c r="M54" s="6" t="str"/>
      <x:c r="N54" s="6" t="n">
        <x:f>SUM(J54:M54)</x:f>
        <x:v>0</x:v>
      </x:c>
      <x:c r="O54" s="6" t="str">
        <x:f>IF(I54="","",I54*N54)</x:f>
      </x:c>
      <x:c r="P54" s="6" t="str">
        <x:f>IF(COUNTA(I54:M54)=0,"À remplir",IF(COUNT(J54:M54)&lt;F54,"Séries incomplètes",IF(MIN(J54:INDEX(J54:M54,1,F54))&gt;=H54,"Augmenter poids","Conserver")))</x:f>
        <x:v>Séries incomplètes</x:v>
      </x:c>
      <x:c r="Q54" s="6" t="str"/>
    </x:row>
    <x:row r="55" ht="15" hidden="0" customHeight="1">
      <x:c r="A55" s="6" t="str">
        <x:v>2026-05-13</x:v>
      </x:c>
      <x:c r="B55" s="6" t="str">
        <x:v>Semaine 3</x:v>
      </x:c>
      <x:c r="C55" s="6" t="str">
        <x:v>Mercredi</x:v>
      </x:c>
      <x:c r="D55" s="6" t="str">
        <x:v>Jambes</x:v>
      </x:c>
      <x:c r="E55" s="6" t="str">
        <x:v>Fentes haltères</x:v>
      </x:c>
      <x:c r="F55" s="6" t="n">
        <x:v>3</x:v>
      </x:c>
      <x:c r="G55" s="6" t="str">
        <x:v>10–15 / jambe</x:v>
      </x:c>
      <x:c r="H55" s="6" t="n">
        <x:v>15</x:v>
      </x:c>
      <x:c r="I55" s="6" t="str"/>
      <x:c r="J55" s="6" t="str"/>
      <x:c r="K55" s="6" t="str"/>
      <x:c r="L55" s="6" t="str"/>
      <x:c r="M55" s="6" t="str"/>
      <x:c r="N55" s="6" t="n">
        <x:f>SUM(J55:M55)</x:f>
        <x:v>0</x:v>
      </x:c>
      <x:c r="O55" s="6" t="str">
        <x:f>IF(I55="","",I55*N55)</x:f>
      </x:c>
      <x:c r="P55" s="6" t="str">
        <x:f>IF(COUNTA(I55:M55)=0,"À remplir",IF(COUNT(J55:M55)&lt;F55,"Séries incomplètes",IF(MIN(J55:INDEX(J55:M55,1,F55))&gt;=H55,"Augmenter poids","Conserver")))</x:f>
        <x:v>Séries incomplètes</x:v>
      </x:c>
      <x:c r="Q55" s="6" t="str"/>
    </x:row>
    <x:row r="56" ht="15" hidden="0" customHeight="1">
      <x:c r="A56" s="6" t="str">
        <x:v>2026-05-13</x:v>
      </x:c>
      <x:c r="B56" s="6" t="str">
        <x:v>Semaine 3</x:v>
      </x:c>
      <x:c r="C56" s="6" t="str">
        <x:v>Mercredi</x:v>
      </x:c>
      <x:c r="D56" s="6" t="str">
        <x:v>Jambes</x:v>
      </x:c>
      <x:c r="E56" s="6" t="str">
        <x:v>Soulevé de terre jambes tendues haltères</x:v>
      </x:c>
      <x:c r="F56" s="6" t="n">
        <x:v>3</x:v>
      </x:c>
      <x:c r="G56" s="6" t="str">
        <x:v>10–15</x:v>
      </x:c>
      <x:c r="H56" s="6" t="n">
        <x:v>15</x:v>
      </x:c>
      <x:c r="I56" s="6" t="str"/>
      <x:c r="J56" s="6" t="str"/>
      <x:c r="K56" s="6" t="str"/>
      <x:c r="L56" s="6" t="str"/>
      <x:c r="M56" s="6" t="str"/>
      <x:c r="N56" s="6" t="n">
        <x:f>SUM(J56:M56)</x:f>
        <x:v>0</x:v>
      </x:c>
      <x:c r="O56" s="6" t="str">
        <x:f>IF(I56="","",I56*N56)</x:f>
      </x:c>
      <x:c r="P56" s="6" t="str">
        <x:f>IF(COUNTA(I56:M56)=0,"À remplir",IF(COUNT(J56:M56)&lt;F56,"Séries incomplètes",IF(MIN(J56:INDEX(J56:M56,1,F56))&gt;=H56,"Augmenter poids","Conserver")))</x:f>
        <x:v>Séries incomplètes</x:v>
      </x:c>
      <x:c r="Q56" s="6" t="str"/>
    </x:row>
    <x:row r="57" ht="15" hidden="0" customHeight="1">
      <x:c r="A57" s="6" t="str">
        <x:v>2026-05-15</x:v>
      </x:c>
      <x:c r="B57" s="6" t="str">
        <x:v>Semaine 3</x:v>
      </x:c>
      <x:c r="C57" s="6" t="str">
        <x:v>Vendredi</x:v>
      </x:c>
      <x:c r="D57" s="6" t="str">
        <x:v>Haut du corps</x:v>
      </x:c>
      <x:c r="E57" s="6" t="str">
        <x:v>Rowing haltère</x:v>
      </x:c>
      <x:c r="F57" s="6" t="n">
        <x:v>3</x:v>
      </x:c>
      <x:c r="G57" s="6" t="str">
        <x:v>8–12</x:v>
      </x:c>
      <x:c r="H57" s="6" t="n">
        <x:v>12</x:v>
      </x:c>
      <x:c r="I57" s="6" t="str"/>
      <x:c r="J57" s="6" t="str"/>
      <x:c r="K57" s="6" t="str"/>
      <x:c r="L57" s="6" t="str"/>
      <x:c r="M57" s="6" t="str"/>
      <x:c r="N57" s="6" t="n">
        <x:f>SUM(J57:M57)</x:f>
        <x:v>0</x:v>
      </x:c>
      <x:c r="O57" s="6" t="str">
        <x:f>IF(I57="","",I57*N57)</x:f>
      </x:c>
      <x:c r="P57" s="6" t="str">
        <x:f>IF(COUNTA(I57:M57)=0,"À remplir",IF(COUNT(J57:M57)&lt;F57,"Séries incomplètes",IF(MIN(J57:INDEX(J57:M57,1,F57))&gt;=H57,"Augmenter poids","Conserver")))</x:f>
        <x:v>Séries incomplètes</x:v>
      </x:c>
      <x:c r="Q57" s="6" t="str"/>
    </x:row>
    <x:row r="58" ht="15" hidden="0" customHeight="1">
      <x:c r="A58" s="6" t="str">
        <x:v>2026-05-15</x:v>
      </x:c>
      <x:c r="B58" s="6" t="str">
        <x:v>Semaine 3</x:v>
      </x:c>
      <x:c r="C58" s="6" t="str">
        <x:v>Vendredi</x:v>
      </x:c>
      <x:c r="D58" s="6" t="str">
        <x:v>Haut du corps</x:v>
      </x:c>
      <x:c r="E58" s="6" t="str">
        <x:v>Développé décliné haltères</x:v>
      </x:c>
      <x:c r="F58" s="6" t="n">
        <x:v>3</x:v>
      </x:c>
      <x:c r="G58" s="6" t="str">
        <x:v>8–12</x:v>
      </x:c>
      <x:c r="H58" s="6" t="n">
        <x:v>12</x:v>
      </x:c>
      <x:c r="I58" s="6" t="str"/>
      <x:c r="J58" s="6" t="str"/>
      <x:c r="K58" s="6" t="str"/>
      <x:c r="L58" s="6" t="str"/>
      <x:c r="M58" s="6" t="str"/>
      <x:c r="N58" s="6" t="n">
        <x:f>SUM(J58:M58)</x:f>
        <x:v>0</x:v>
      </x:c>
      <x:c r="O58" s="6" t="str">
        <x:f>IF(I58="","",I58*N58)</x:f>
      </x:c>
      <x:c r="P58" s="6" t="str">
        <x:f>IF(COUNTA(I58:M58)=0,"À remplir",IF(COUNT(J58:M58)&lt;F58,"Séries incomplètes",IF(MIN(J58:INDEX(J58:M58,1,F58))&gt;=H58,"Augmenter poids","Conserver")))</x:f>
        <x:v>Séries incomplètes</x:v>
      </x:c>
      <x:c r="Q58" s="6" t="str"/>
    </x:row>
    <x:row r="59" ht="15" hidden="0" customHeight="1">
      <x:c r="A59" s="6" t="str">
        <x:v>2026-05-15</x:v>
      </x:c>
      <x:c r="B59" s="6" t="str">
        <x:v>Semaine 3</x:v>
      </x:c>
      <x:c r="C59" s="6" t="str">
        <x:v>Vendredi</x:v>
      </x:c>
      <x:c r="D59" s="6" t="str">
        <x:v>Haut du corps</x:v>
      </x:c>
      <x:c r="E59" s="6" t="str">
        <x:v>Développé militaire haltères</x:v>
      </x:c>
      <x:c r="F59" s="6" t="n">
        <x:v>3</x:v>
      </x:c>
      <x:c r="G59" s="6" t="str">
        <x:v>8–12</x:v>
      </x:c>
      <x:c r="H59" s="6" t="n">
        <x:v>12</x:v>
      </x:c>
      <x:c r="I59" s="6" t="str"/>
      <x:c r="J59" s="6" t="str"/>
      <x:c r="K59" s="6" t="str"/>
      <x:c r="L59" s="6" t="str"/>
      <x:c r="M59" s="6" t="str"/>
      <x:c r="N59" s="6" t="n">
        <x:f>SUM(J59:M59)</x:f>
        <x:v>0</x:v>
      </x:c>
      <x:c r="O59" s="6" t="str">
        <x:f>IF(I59="","",I59*N59)</x:f>
      </x:c>
      <x:c r="P59" s="6" t="str">
        <x:f>IF(COUNTA(I59:M59)=0,"À remplir",IF(COUNT(J59:M59)&lt;F59,"Séries incomplètes",IF(MIN(J59:INDEX(J59:M59,1,F59))&gt;=H59,"Augmenter poids","Conserver")))</x:f>
        <x:v>Séries incomplètes</x:v>
      </x:c>
      <x:c r="Q59" s="6" t="str"/>
    </x:row>
    <x:row r="60" ht="15" hidden="0" customHeight="1">
      <x:c r="A60" s="6" t="str">
        <x:v>2026-05-15</x:v>
      </x:c>
      <x:c r="B60" s="6" t="str">
        <x:v>Semaine 3</x:v>
      </x:c>
      <x:c r="C60" s="6" t="str">
        <x:v>Vendredi</x:v>
      </x:c>
      <x:c r="D60" s="6" t="str">
        <x:v>Haut du corps</x:v>
      </x:c>
      <x:c r="E60" s="6" t="str">
        <x:v>Élévations latérales inclinées</x:v>
      </x:c>
      <x:c r="F60" s="6" t="n">
        <x:v>3</x:v>
      </x:c>
      <x:c r="G60" s="6" t="str">
        <x:v>12–15</x:v>
      </x:c>
      <x:c r="H60" s="6" t="n">
        <x:v>15</x:v>
      </x:c>
      <x:c r="I60" s="6" t="str"/>
      <x:c r="J60" s="6" t="str"/>
      <x:c r="K60" s="6" t="str"/>
      <x:c r="L60" s="6" t="str"/>
      <x:c r="M60" s="6" t="str"/>
      <x:c r="N60" s="6" t="n">
        <x:f>SUM(J60:M60)</x:f>
        <x:v>0</x:v>
      </x:c>
      <x:c r="O60" s="6" t="str">
        <x:f>IF(I60="","",I60*N60)</x:f>
      </x:c>
      <x:c r="P60" s="6" t="str">
        <x:f>IF(COUNTA(I60:M60)=0,"À remplir",IF(COUNT(J60:M60)&lt;F60,"Séries incomplètes",IF(MIN(J60:INDEX(J60:M60,1,F60))&gt;=H60,"Augmenter poids","Conserver")))</x:f>
        <x:v>Séries incomplètes</x:v>
      </x:c>
      <x:c r="Q60" s="6" t="str"/>
    </x:row>
    <x:row r="61" ht="15" hidden="0" customHeight="1">
      <x:c r="A61" s="6" t="str">
        <x:v>2026-05-15</x:v>
      </x:c>
      <x:c r="B61" s="6" t="str">
        <x:v>Semaine 3</x:v>
      </x:c>
      <x:c r="C61" s="6" t="str">
        <x:v>Vendredi</x:v>
      </x:c>
      <x:c r="D61" s="6" t="str">
        <x:v>Haut du corps</x:v>
      </x:c>
      <x:c r="E61" s="6" t="str">
        <x:v>Curl incliné haltères</x:v>
      </x:c>
      <x:c r="F61" s="6" t="n">
        <x:v>2</x:v>
      </x:c>
      <x:c r="G61" s="6" t="str">
        <x:v>10–12</x:v>
      </x:c>
      <x:c r="H61" s="6" t="n">
        <x:v>12</x:v>
      </x:c>
      <x:c r="I61" s="6" t="str"/>
      <x:c r="J61" s="6" t="str"/>
      <x:c r="K61" s="6" t="str"/>
      <x:c r="L61" s="6" t="str"/>
      <x:c r="M61" s="6" t="str"/>
      <x:c r="N61" s="6" t="n">
        <x:f>SUM(J61:M61)</x:f>
        <x:v>0</x:v>
      </x:c>
      <x:c r="O61" s="6" t="str">
        <x:f>IF(I61="","",I61*N61)</x:f>
      </x:c>
      <x:c r="P61" s="6" t="str">
        <x:f>IF(COUNTA(I61:M61)=0,"À remplir",IF(COUNT(J61:M61)&lt;F61,"Séries incomplètes",IF(MIN(J61:INDEX(J61:M61,1,F61))&gt;=H61,"Augmenter poids","Conserver")))</x:f>
        <x:v>Séries incomplètes</x:v>
      </x:c>
      <x:c r="Q61" s="6" t="str"/>
    </x:row>
    <x:row r="62" ht="15" hidden="0" customHeight="1">
      <x:c r="A62" s="6" t="str">
        <x:v>2026-05-15</x:v>
      </x:c>
      <x:c r="B62" s="6" t="str">
        <x:v>Semaine 3</x:v>
      </x:c>
      <x:c r="C62" s="6" t="str">
        <x:v>Vendredi</x:v>
      </x:c>
      <x:c r="D62" s="6" t="str">
        <x:v>Haut du corps</x:v>
      </x:c>
      <x:c r="E62" s="6" t="str">
        <x:v>Extension triceps au front haltère</x:v>
      </x:c>
      <x:c r="F62" s="6" t="n">
        <x:v>2</x:v>
      </x:c>
      <x:c r="G62" s="6" t="str">
        <x:v>10–15</x:v>
      </x:c>
      <x:c r="H62" s="6" t="n">
        <x:v>15</x:v>
      </x:c>
      <x:c r="I62" s="6" t="str"/>
      <x:c r="J62" s="6" t="str"/>
      <x:c r="K62" s="6" t="str"/>
      <x:c r="L62" s="6" t="str"/>
      <x:c r="M62" s="6" t="str"/>
      <x:c r="N62" s="6" t="n">
        <x:f>SUM(J62:M62)</x:f>
        <x:v>0</x:v>
      </x:c>
      <x:c r="O62" s="6" t="str">
        <x:f>IF(I62="","",I62*N62)</x:f>
      </x:c>
      <x:c r="P62" s="6" t="str">
        <x:f>IF(COUNTA(I62:M62)=0,"À remplir",IF(COUNT(J62:M62)&lt;F62,"Séries incomplètes",IF(MIN(J62:INDEX(J62:M62,1,F62))&gt;=H62,"Augmenter poids","Conserver")))</x:f>
        <x:v>Séries incomplètes</x:v>
      </x:c>
      <x:c r="Q62" s="6" t="str"/>
    </x:row>
    <x:row r="63" ht="15" hidden="0" customHeight="1">
      <x:c r="A63" s="6" t="str">
        <x:v>2026-05-16</x:v>
      </x:c>
      <x:c r="B63" s="6" t="str">
        <x:v>Semaine 3</x:v>
      </x:c>
      <x:c r="C63" s="6" t="str">
        <x:v>Samedi</x:v>
      </x:c>
      <x:c r="D63" s="6" t="str">
        <x:v>Bras + épaules</x:v>
      </x:c>
      <x:c r="E63" s="6" t="str">
        <x:v>Élévations latérales inclinées</x:v>
      </x:c>
      <x:c r="F63" s="6" t="n">
        <x:v>4</x:v>
      </x:c>
      <x:c r="G63" s="6" t="str">
        <x:v>12–20</x:v>
      </x:c>
      <x:c r="H63" s="6" t="n">
        <x:v>20</x:v>
      </x:c>
      <x:c r="I63" s="6" t="str"/>
      <x:c r="J63" s="6" t="str"/>
      <x:c r="K63" s="6" t="str"/>
      <x:c r="L63" s="6" t="str"/>
      <x:c r="M63" s="6" t="str"/>
      <x:c r="N63" s="6" t="n">
        <x:f>SUM(J63:M63)</x:f>
        <x:v>0</x:v>
      </x:c>
      <x:c r="O63" s="6" t="str">
        <x:f>IF(I63="","",I63*N63)</x:f>
      </x:c>
      <x:c r="P63" s="6" t="str">
        <x:f>IF(COUNTA(I63:M63)=0,"À remplir",IF(COUNT(J63:M63)&lt;F63,"Séries incomplètes",IF(MIN(J63:INDEX(J63:M63,1,F63))&gt;=H63,"Augmenter poids","Conserver")))</x:f>
        <x:v>Séries incomplètes</x:v>
      </x:c>
      <x:c r="Q63" s="6" t="str"/>
    </x:row>
    <x:row r="64" ht="15" hidden="0" customHeight="1">
      <x:c r="A64" s="6" t="str">
        <x:v>2026-05-16</x:v>
      </x:c>
      <x:c r="B64" s="6" t="str">
        <x:v>Semaine 3</x:v>
      </x:c>
      <x:c r="C64" s="6" t="str">
        <x:v>Samedi</x:v>
      </x:c>
      <x:c r="D64" s="6" t="str">
        <x:v>Bras + épaules</x:v>
      </x:c>
      <x:c r="E64" s="6" t="str">
        <x:v>Pec deck inversé / oiseau haltères</x:v>
      </x:c>
      <x:c r="F64" s="6" t="n">
        <x:v>3</x:v>
      </x:c>
      <x:c r="G64" s="6" t="str">
        <x:v>12–15</x:v>
      </x:c>
      <x:c r="H64" s="6" t="n">
        <x:v>15</x:v>
      </x:c>
      <x:c r="I64" s="6" t="str"/>
      <x:c r="J64" s="6" t="str"/>
      <x:c r="K64" s="6" t="str"/>
      <x:c r="L64" s="6" t="str"/>
      <x:c r="M64" s="6" t="str"/>
      <x:c r="N64" s="6" t="n">
        <x:f>SUM(J64:M64)</x:f>
        <x:v>0</x:v>
      </x:c>
      <x:c r="O64" s="6" t="str">
        <x:f>IF(I64="","",I64*N64)</x:f>
      </x:c>
      <x:c r="P64" s="6" t="str">
        <x:f>IF(COUNTA(I64:M64)=0,"À remplir",IF(COUNT(J64:M64)&lt;F64,"Séries incomplètes",IF(MIN(J64:INDEX(J64:M64,1,F64))&gt;=H64,"Augmenter poids","Conserver")))</x:f>
        <x:v>Séries incomplètes</x:v>
      </x:c>
      <x:c r="Q64" s="6" t="str"/>
    </x:row>
    <x:row r="65" ht="15" hidden="0" customHeight="1">
      <x:c r="A65" s="6" t="str">
        <x:v>2026-05-16</x:v>
      </x:c>
      <x:c r="B65" s="6" t="str">
        <x:v>Semaine 3</x:v>
      </x:c>
      <x:c r="C65" s="6" t="str">
        <x:v>Samedi</x:v>
      </x:c>
      <x:c r="D65" s="6" t="str">
        <x:v>Bras + épaules</x:v>
      </x:c>
      <x:c r="E65" s="6" t="str">
        <x:v>Spider curl haltères</x:v>
      </x:c>
      <x:c r="F65" s="6" t="n">
        <x:v>3</x:v>
      </x:c>
      <x:c r="G65" s="6" t="str">
        <x:v>10–12</x:v>
      </x:c>
      <x:c r="H65" s="6" t="n">
        <x:v>12</x:v>
      </x:c>
      <x:c r="I65" s="6" t="str"/>
      <x:c r="J65" s="6" t="str"/>
      <x:c r="K65" s="6" t="str"/>
      <x:c r="L65" s="6" t="str"/>
      <x:c r="M65" s="6" t="str"/>
      <x:c r="N65" s="6" t="n">
        <x:f>SUM(J65:M65)</x:f>
        <x:v>0</x:v>
      </x:c>
      <x:c r="O65" s="6" t="str">
        <x:f>IF(I65="","",I65*N65)</x:f>
      </x:c>
      <x:c r="P65" s="6" t="str">
        <x:f>IF(COUNTA(I65:M65)=0,"À remplir",IF(COUNT(J65:M65)&lt;F65,"Séries incomplètes",IF(MIN(J65:INDEX(J65:M65,1,F65))&gt;=H65,"Augmenter poids","Conserver")))</x:f>
        <x:v>Séries incomplètes</x:v>
      </x:c>
      <x:c r="Q65" s="6" t="str"/>
    </x:row>
    <x:row r="66" ht="15" hidden="0" customHeight="1">
      <x:c r="A66" s="6" t="str">
        <x:v>2026-05-16</x:v>
      </x:c>
      <x:c r="B66" s="6" t="str">
        <x:v>Semaine 3</x:v>
      </x:c>
      <x:c r="C66" s="6" t="str">
        <x:v>Samedi</x:v>
      </x:c>
      <x:c r="D66" s="6" t="str">
        <x:v>Bras + épaules</x:v>
      </x:c>
      <x:c r="E66" s="6" t="str">
        <x:v>Curl incliné haltères</x:v>
      </x:c>
      <x:c r="F66" s="6" t="n">
        <x:v>3</x:v>
      </x:c>
      <x:c r="G66" s="6" t="str">
        <x:v>10–12</x:v>
      </x:c>
      <x:c r="H66" s="6" t="n">
        <x:v>12</x:v>
      </x:c>
      <x:c r="I66" s="6" t="str"/>
      <x:c r="J66" s="6" t="str"/>
      <x:c r="K66" s="6" t="str"/>
      <x:c r="L66" s="6" t="str"/>
      <x:c r="M66" s="6" t="str"/>
      <x:c r="N66" s="6" t="n">
        <x:f>SUM(J66:M66)</x:f>
        <x:v>0</x:v>
      </x:c>
      <x:c r="O66" s="6" t="str">
        <x:f>IF(I66="","",I66*N66)</x:f>
      </x:c>
      <x:c r="P66" s="6" t="str">
        <x:f>IF(COUNTA(I66:M66)=0,"À remplir",IF(COUNT(J66:M66)&lt;F66,"Séries incomplètes",IF(MIN(J66:INDEX(J66:M66,1,F66))&gt;=H66,"Augmenter poids","Conserver")))</x:f>
        <x:v>Séries incomplètes</x:v>
      </x:c>
      <x:c r="Q66" s="6" t="str"/>
    </x:row>
    <x:row r="67" ht="15" hidden="0" customHeight="1">
      <x:c r="A67" s="6" t="str">
        <x:v>2026-05-16</x:v>
      </x:c>
      <x:c r="B67" s="6" t="str">
        <x:v>Semaine 3</x:v>
      </x:c>
      <x:c r="C67" s="6" t="str">
        <x:v>Samedi</x:v>
      </x:c>
      <x:c r="D67" s="6" t="str">
        <x:v>Bras + épaules</x:v>
      </x:c>
      <x:c r="E67" s="6" t="str">
        <x:v>Extension triceps au front haltère</x:v>
      </x:c>
      <x:c r="F67" s="6" t="n">
        <x:v>3</x:v>
      </x:c>
      <x:c r="G67" s="6" t="str">
        <x:v>10–15</x:v>
      </x:c>
      <x:c r="H67" s="6" t="n">
        <x:v>15</x:v>
      </x:c>
      <x:c r="I67" s="6" t="str"/>
      <x:c r="J67" s="6" t="str"/>
      <x:c r="K67" s="6" t="str"/>
      <x:c r="L67" s="6" t="str"/>
      <x:c r="M67" s="6" t="str"/>
      <x:c r="N67" s="6" t="n">
        <x:f>SUM(J67:M67)</x:f>
        <x:v>0</x:v>
      </x:c>
      <x:c r="O67" s="6" t="str">
        <x:f>IF(I67="","",I67*N67)</x:f>
      </x:c>
      <x:c r="P67" s="6" t="str">
        <x:f>IF(COUNTA(I67:M67)=0,"À remplir",IF(COUNT(J67:M67)&lt;F67,"Séries incomplètes",IF(MIN(J67:INDEX(J67:M67,1,F67))&gt;=H67,"Augmenter poids","Conserver")))</x:f>
        <x:v>Séries incomplètes</x:v>
      </x:c>
      <x:c r="Q67" s="6" t="str"/>
    </x:row>
    <x:row r="68" ht="15" hidden="0" customHeight="1">
      <x:c r="A68" s="6" t="str">
        <x:v>2026-05-18</x:v>
      </x:c>
      <x:c r="B68" s="6" t="str">
        <x:v>Semaine 4</x:v>
      </x:c>
      <x:c r="C68" s="6" t="str">
        <x:v>Lundi</x:v>
      </x:c>
      <x:c r="D68" s="6" t="str">
        <x:v>Push</x:v>
      </x:c>
      <x:c r="E68" s="6" t="str">
        <x:v>Développé décliné haltères</x:v>
      </x:c>
      <x:c r="F68" s="6" t="n">
        <x:v>4</x:v>
      </x:c>
      <x:c r="G68" s="6" t="str">
        <x:v>6–10</x:v>
      </x:c>
      <x:c r="H68" s="6" t="n">
        <x:v>10</x:v>
      </x:c>
      <x:c r="I68" s="6" t="str"/>
      <x:c r="J68" s="6" t="str"/>
      <x:c r="K68" s="6" t="str"/>
      <x:c r="L68" s="6" t="str"/>
      <x:c r="M68" s="6" t="str"/>
      <x:c r="N68" s="6" t="n">
        <x:f>SUM(J68:M68)</x:f>
        <x:v>0</x:v>
      </x:c>
      <x:c r="O68" s="6" t="str">
        <x:f>IF(I68="","",I68*N68)</x:f>
      </x:c>
      <x:c r="P68" s="6" t="str">
        <x:f>IF(COUNTA(I68:M68)=0,"À remplir",IF(COUNT(J68:M68)&lt;F68,"Séries incomplètes",IF(MIN(J68:INDEX(J68:M68,1,F68))&gt;=H68,"Augmenter poids","Conserver")))</x:f>
        <x:v>Séries incomplètes</x:v>
      </x:c>
      <x:c r="Q68" s="6" t="str"/>
    </x:row>
    <x:row r="69" ht="15" hidden="0" customHeight="1">
      <x:c r="A69" s="6" t="str">
        <x:v>2026-05-18</x:v>
      </x:c>
      <x:c r="B69" s="6" t="str">
        <x:v>Semaine 4</x:v>
      </x:c>
      <x:c r="C69" s="6" t="str">
        <x:v>Lundi</x:v>
      </x:c>
      <x:c r="D69" s="6" t="str">
        <x:v>Push</x:v>
      </x:c>
      <x:c r="E69" s="6" t="str">
        <x:v>Développé militaire haltères</x:v>
      </x:c>
      <x:c r="F69" s="6" t="n">
        <x:v>4</x:v>
      </x:c>
      <x:c r="G69" s="6" t="str">
        <x:v>6–10</x:v>
      </x:c>
      <x:c r="H69" s="6" t="n">
        <x:v>10</x:v>
      </x:c>
      <x:c r="I69" s="6" t="str"/>
      <x:c r="J69" s="6" t="str"/>
      <x:c r="K69" s="6" t="str"/>
      <x:c r="L69" s="6" t="str"/>
      <x:c r="M69" s="6" t="str"/>
      <x:c r="N69" s="6" t="n">
        <x:f>SUM(J69:M69)</x:f>
        <x:v>0</x:v>
      </x:c>
      <x:c r="O69" s="6" t="str">
        <x:f>IF(I69="","",I69*N69)</x:f>
      </x:c>
      <x:c r="P69" s="6" t="str">
        <x:f>IF(COUNTA(I69:M69)=0,"À remplir",IF(COUNT(J69:M69)&lt;F69,"Séries incomplètes",IF(MIN(J69:INDEX(J69:M69,1,F69))&gt;=H69,"Augmenter poids","Conserver")))</x:f>
        <x:v>Séries incomplètes</x:v>
      </x:c>
      <x:c r="Q69" s="6" t="str"/>
    </x:row>
    <x:row r="70" ht="15" hidden="0" customHeight="1">
      <x:c r="A70" s="6" t="str">
        <x:v>2026-05-18</x:v>
      </x:c>
      <x:c r="B70" s="6" t="str">
        <x:v>Semaine 4</x:v>
      </x:c>
      <x:c r="C70" s="6" t="str">
        <x:v>Lundi</x:v>
      </x:c>
      <x:c r="D70" s="6" t="str">
        <x:v>Push</x:v>
      </x:c>
      <x:c r="E70" s="6" t="str">
        <x:v>Élévations latérales inclinées</x:v>
      </x:c>
      <x:c r="F70" s="6" t="n">
        <x:v>3</x:v>
      </x:c>
      <x:c r="G70" s="6" t="str">
        <x:v>12–15</x:v>
      </x:c>
      <x:c r="H70" s="6" t="n">
        <x:v>15</x:v>
      </x:c>
      <x:c r="I70" s="6" t="str"/>
      <x:c r="J70" s="6" t="str"/>
      <x:c r="K70" s="6" t="str"/>
      <x:c r="L70" s="6" t="str"/>
      <x:c r="M70" s="6" t="str"/>
      <x:c r="N70" s="6" t="n">
        <x:f>SUM(J70:M70)</x:f>
        <x:v>0</x:v>
      </x:c>
      <x:c r="O70" s="6" t="str">
        <x:f>IF(I70="","",I70*N70)</x:f>
      </x:c>
      <x:c r="P70" s="6" t="str">
        <x:f>IF(COUNTA(I70:M70)=0,"À remplir",IF(COUNT(J70:M70)&lt;F70,"Séries incomplètes",IF(MIN(J70:INDEX(J70:M70,1,F70))&gt;=H70,"Augmenter poids","Conserver")))</x:f>
        <x:v>Séries incomplètes</x:v>
      </x:c>
      <x:c r="Q70" s="6" t="str"/>
    </x:row>
    <x:row r="71" ht="15" hidden="0" customHeight="1">
      <x:c r="A71" s="6" t="str">
        <x:v>2026-05-18</x:v>
      </x:c>
      <x:c r="B71" s="6" t="str">
        <x:v>Semaine 4</x:v>
      </x:c>
      <x:c r="C71" s="6" t="str">
        <x:v>Lundi</x:v>
      </x:c>
      <x:c r="D71" s="6" t="str">
        <x:v>Push</x:v>
      </x:c>
      <x:c r="E71" s="6" t="str">
        <x:v>Extension triceps au front haltère</x:v>
      </x:c>
      <x:c r="F71" s="6" t="n">
        <x:v>3</x:v>
      </x:c>
      <x:c r="G71" s="6" t="str">
        <x:v>10–15</x:v>
      </x:c>
      <x:c r="H71" s="6" t="n">
        <x:v>15</x:v>
      </x:c>
      <x:c r="I71" s="6" t="str"/>
      <x:c r="J71" s="6" t="str"/>
      <x:c r="K71" s="6" t="str"/>
      <x:c r="L71" s="6" t="str"/>
      <x:c r="M71" s="6" t="str"/>
      <x:c r="N71" s="6" t="n">
        <x:f>SUM(J71:M71)</x:f>
        <x:v>0</x:v>
      </x:c>
      <x:c r="O71" s="6" t="str">
        <x:f>IF(I71="","",I71*N71)</x:f>
      </x:c>
      <x:c r="P71" s="6" t="str">
        <x:f>IF(COUNTA(I71:M71)=0,"À remplir",IF(COUNT(J71:M71)&lt;F71,"Séries incomplètes",IF(MIN(J71:INDEX(J71:M71,1,F71))&gt;=H71,"Augmenter poids","Conserver")))</x:f>
        <x:v>Séries incomplètes</x:v>
      </x:c>
      <x:c r="Q71" s="6" t="str"/>
    </x:row>
    <x:row r="72" ht="15" hidden="0" customHeight="1">
      <x:c r="A72" s="6" t="str">
        <x:v>2026-05-19</x:v>
      </x:c>
      <x:c r="B72" s="6" t="str">
        <x:v>Semaine 4</x:v>
      </x:c>
      <x:c r="C72" s="6" t="str">
        <x:v>Mardi</x:v>
      </x:c>
      <x:c r="D72" s="6" t="str">
        <x:v>Pull</x:v>
      </x:c>
      <x:c r="E72" s="6" t="str">
        <x:v>Rowing haltère</x:v>
      </x:c>
      <x:c r="F72" s="6" t="n">
        <x:v>4</x:v>
      </x:c>
      <x:c r="G72" s="6" t="str">
        <x:v>8–12</x:v>
      </x:c>
      <x:c r="H72" s="6" t="n">
        <x:v>12</x:v>
      </x:c>
      <x:c r="I72" s="6" t="str"/>
      <x:c r="J72" s="6" t="str"/>
      <x:c r="K72" s="6" t="str"/>
      <x:c r="L72" s="6" t="str"/>
      <x:c r="M72" s="6" t="str"/>
      <x:c r="N72" s="6" t="n">
        <x:f>SUM(J72:M72)</x:f>
        <x:v>0</x:v>
      </x:c>
      <x:c r="O72" s="6" t="str">
        <x:f>IF(I72="","",I72*N72)</x:f>
      </x:c>
      <x:c r="P72" s="6" t="str">
        <x:f>IF(COUNTA(I72:M72)=0,"À remplir",IF(COUNT(J72:M72)&lt;F72,"Séries incomplètes",IF(MIN(J72:INDEX(J72:M72,1,F72))&gt;=H72,"Augmenter poids","Conserver")))</x:f>
        <x:v>Séries incomplètes</x:v>
      </x:c>
      <x:c r="Q72" s="6" t="str"/>
    </x:row>
    <x:row r="73" ht="15" hidden="0" customHeight="1">
      <x:c r="A73" s="6" t="str">
        <x:v>2026-05-19</x:v>
      </x:c>
      <x:c r="B73" s="6" t="str">
        <x:v>Semaine 4</x:v>
      </x:c>
      <x:c r="C73" s="6" t="str">
        <x:v>Mardi</x:v>
      </x:c>
      <x:c r="D73" s="6" t="str">
        <x:v>Pull</x:v>
      </x:c>
      <x:c r="E73" s="6" t="str">
        <x:v>Pec deck inversé / oiseau haltères</x:v>
      </x:c>
      <x:c r="F73" s="6" t="n">
        <x:v>3</x:v>
      </x:c>
      <x:c r="G73" s="6" t="str">
        <x:v>12–15</x:v>
      </x:c>
      <x:c r="H73" s="6" t="n">
        <x:v>15</x:v>
      </x:c>
      <x:c r="I73" s="6" t="str"/>
      <x:c r="J73" s="6" t="str"/>
      <x:c r="K73" s="6" t="str"/>
      <x:c r="L73" s="6" t="str"/>
      <x:c r="M73" s="6" t="str"/>
      <x:c r="N73" s="6" t="n">
        <x:f>SUM(J73:M73)</x:f>
        <x:v>0</x:v>
      </x:c>
      <x:c r="O73" s="6" t="str">
        <x:f>IF(I73="","",I73*N73)</x:f>
      </x:c>
      <x:c r="P73" s="6" t="str">
        <x:f>IF(COUNTA(I73:M73)=0,"À remplir",IF(COUNT(J73:M73)&lt;F73,"Séries incomplètes",IF(MIN(J73:INDEX(J73:M73,1,F73))&gt;=H73,"Augmenter poids","Conserver")))</x:f>
        <x:v>Séries incomplètes</x:v>
      </x:c>
      <x:c r="Q73" s="6" t="str"/>
    </x:row>
    <x:row r="74" ht="15" hidden="0" customHeight="1">
      <x:c r="A74" s="6" t="str">
        <x:v>2026-05-19</x:v>
      </x:c>
      <x:c r="B74" s="6" t="str">
        <x:v>Semaine 4</x:v>
      </x:c>
      <x:c r="C74" s="6" t="str">
        <x:v>Mardi</x:v>
      </x:c>
      <x:c r="D74" s="6" t="str">
        <x:v>Pull</x:v>
      </x:c>
      <x:c r="E74" s="6" t="str">
        <x:v>Curl incliné haltères</x:v>
      </x:c>
      <x:c r="F74" s="6" t="n">
        <x:v>3</x:v>
      </x:c>
      <x:c r="G74" s="6" t="str">
        <x:v>10–12</x:v>
      </x:c>
      <x:c r="H74" s="6" t="n">
        <x:v>12</x:v>
      </x:c>
      <x:c r="I74" s="6" t="str"/>
      <x:c r="J74" s="6" t="str"/>
      <x:c r="K74" s="6" t="str"/>
      <x:c r="L74" s="6" t="str"/>
      <x:c r="M74" s="6" t="str"/>
      <x:c r="N74" s="6" t="n">
        <x:f>SUM(J74:M74)</x:f>
        <x:v>0</x:v>
      </x:c>
      <x:c r="O74" s="6" t="str">
        <x:f>IF(I74="","",I74*N74)</x:f>
      </x:c>
      <x:c r="P74" s="6" t="str">
        <x:f>IF(COUNTA(I74:M74)=0,"À remplir",IF(COUNT(J74:M74)&lt;F74,"Séries incomplètes",IF(MIN(J74:INDEX(J74:M74,1,F74))&gt;=H74,"Augmenter poids","Conserver")))</x:f>
        <x:v>Séries incomplètes</x:v>
      </x:c>
      <x:c r="Q74" s="6" t="str"/>
    </x:row>
    <x:row r="75" ht="15" hidden="0" customHeight="1">
      <x:c r="A75" s="6" t="str">
        <x:v>2026-05-19</x:v>
      </x:c>
      <x:c r="B75" s="6" t="str">
        <x:v>Semaine 4</x:v>
      </x:c>
      <x:c r="C75" s="6" t="str">
        <x:v>Mardi</x:v>
      </x:c>
      <x:c r="D75" s="6" t="str">
        <x:v>Pull</x:v>
      </x:c>
      <x:c r="E75" s="6" t="str">
        <x:v>Spider curl haltères</x:v>
      </x:c>
      <x:c r="F75" s="6" t="n">
        <x:v>3</x:v>
      </x:c>
      <x:c r="G75" s="6" t="str">
        <x:v>10–12</x:v>
      </x:c>
      <x:c r="H75" s="6" t="n">
        <x:v>12</x:v>
      </x:c>
      <x:c r="I75" s="6" t="str"/>
      <x:c r="J75" s="6" t="str"/>
      <x:c r="K75" s="6" t="str"/>
      <x:c r="L75" s="6" t="str"/>
      <x:c r="M75" s="6" t="str"/>
      <x:c r="N75" s="6" t="n">
        <x:f>SUM(J75:M75)</x:f>
        <x:v>0</x:v>
      </x:c>
      <x:c r="O75" s="6" t="str">
        <x:f>IF(I75="","",I75*N75)</x:f>
      </x:c>
      <x:c r="P75" s="6" t="str">
        <x:f>IF(COUNTA(I75:M75)=0,"À remplir",IF(COUNT(J75:M75)&lt;F75,"Séries incomplètes",IF(MIN(J75:INDEX(J75:M75,1,F75))&gt;=H75,"Augmenter poids","Conserver")))</x:f>
        <x:v>Séries incomplètes</x:v>
      </x:c>
      <x:c r="Q75" s="6" t="str"/>
    </x:row>
    <x:row r="76" ht="15" hidden="0" customHeight="1">
      <x:c r="A76" s="6" t="str">
        <x:v>2026-05-20</x:v>
      </x:c>
      <x:c r="B76" s="6" t="str">
        <x:v>Semaine 4</x:v>
      </x:c>
      <x:c r="C76" s="6" t="str">
        <x:v>Mercredi</x:v>
      </x:c>
      <x:c r="D76" s="6" t="str">
        <x:v>Jambes</x:v>
      </x:c>
      <x:c r="E76" s="6" t="str">
        <x:v>Goblet squat</x:v>
      </x:c>
      <x:c r="F76" s="6" t="n">
        <x:v>4</x:v>
      </x:c>
      <x:c r="G76" s="6" t="str">
        <x:v>10–20</x:v>
      </x:c>
      <x:c r="H76" s="6" t="n">
        <x:v>20</x:v>
      </x:c>
      <x:c r="I76" s="6" t="str"/>
      <x:c r="J76" s="6" t="str"/>
      <x:c r="K76" s="6" t="str"/>
      <x:c r="L76" s="6" t="str"/>
      <x:c r="M76" s="6" t="str"/>
      <x:c r="N76" s="6" t="n">
        <x:f>SUM(J76:M76)</x:f>
        <x:v>0</x:v>
      </x:c>
      <x:c r="O76" s="6" t="str">
        <x:f>IF(I76="","",I76*N76)</x:f>
      </x:c>
      <x:c r="P76" s="6" t="str">
        <x:f>IF(COUNTA(I76:M76)=0,"À remplir",IF(COUNT(J76:M76)&lt;F76,"Séries incomplètes",IF(MIN(J76:INDEX(J76:M76,1,F76))&gt;=H76,"Augmenter poids","Conserver")))</x:f>
        <x:v>Séries incomplètes</x:v>
      </x:c>
      <x:c r="Q76" s="6" t="str"/>
    </x:row>
    <x:row r="77" ht="15" hidden="0" customHeight="1">
      <x:c r="A77" s="6" t="str">
        <x:v>2026-05-20</x:v>
      </x:c>
      <x:c r="B77" s="6" t="str">
        <x:v>Semaine 4</x:v>
      </x:c>
      <x:c r="C77" s="6" t="str">
        <x:v>Mercredi</x:v>
      </x:c>
      <x:c r="D77" s="6" t="str">
        <x:v>Jambes</x:v>
      </x:c>
      <x:c r="E77" s="6" t="str">
        <x:v>Fentes haltères</x:v>
      </x:c>
      <x:c r="F77" s="6" t="n">
        <x:v>3</x:v>
      </x:c>
      <x:c r="G77" s="6" t="str">
        <x:v>10–15 / jambe</x:v>
      </x:c>
      <x:c r="H77" s="6" t="n">
        <x:v>15</x:v>
      </x:c>
      <x:c r="I77" s="6" t="str"/>
      <x:c r="J77" s="6" t="str"/>
      <x:c r="K77" s="6" t="str"/>
      <x:c r="L77" s="6" t="str"/>
      <x:c r="M77" s="6" t="str"/>
      <x:c r="N77" s="6" t="n">
        <x:f>SUM(J77:M77)</x:f>
        <x:v>0</x:v>
      </x:c>
      <x:c r="O77" s="6" t="str">
        <x:f>IF(I77="","",I77*N77)</x:f>
      </x:c>
      <x:c r="P77" s="6" t="str">
        <x:f>IF(COUNTA(I77:M77)=0,"À remplir",IF(COUNT(J77:M77)&lt;F77,"Séries incomplètes",IF(MIN(J77:INDEX(J77:M77,1,F77))&gt;=H77,"Augmenter poids","Conserver")))</x:f>
        <x:v>Séries incomplètes</x:v>
      </x:c>
      <x:c r="Q77" s="6" t="str"/>
    </x:row>
    <x:row r="78" ht="15" hidden="0" customHeight="1">
      <x:c r="A78" s="6" t="str">
        <x:v>2026-05-20</x:v>
      </x:c>
      <x:c r="B78" s="6" t="str">
        <x:v>Semaine 4</x:v>
      </x:c>
      <x:c r="C78" s="6" t="str">
        <x:v>Mercredi</x:v>
      </x:c>
      <x:c r="D78" s="6" t="str">
        <x:v>Jambes</x:v>
      </x:c>
      <x:c r="E78" s="6" t="str">
        <x:v>Soulevé de terre jambes tendues haltères</x:v>
      </x:c>
      <x:c r="F78" s="6" t="n">
        <x:v>3</x:v>
      </x:c>
      <x:c r="G78" s="6" t="str">
        <x:v>10–15</x:v>
      </x:c>
      <x:c r="H78" s="6" t="n">
        <x:v>15</x:v>
      </x:c>
      <x:c r="I78" s="6" t="str"/>
      <x:c r="J78" s="6" t="str"/>
      <x:c r="K78" s="6" t="str"/>
      <x:c r="L78" s="6" t="str"/>
      <x:c r="M78" s="6" t="str"/>
      <x:c r="N78" s="6" t="n">
        <x:f>SUM(J78:M78)</x:f>
        <x:v>0</x:v>
      </x:c>
      <x:c r="O78" s="6" t="str">
        <x:f>IF(I78="","",I78*N78)</x:f>
      </x:c>
      <x:c r="P78" s="6" t="str">
        <x:f>IF(COUNTA(I78:M78)=0,"À remplir",IF(COUNT(J78:M78)&lt;F78,"Séries incomplètes",IF(MIN(J78:INDEX(J78:M78,1,F78))&gt;=H78,"Augmenter poids","Conserver")))</x:f>
        <x:v>Séries incomplètes</x:v>
      </x:c>
      <x:c r="Q78" s="6" t="str"/>
    </x:row>
    <x:row r="79" ht="15" hidden="0" customHeight="1">
      <x:c r="A79" s="6" t="str">
        <x:v>2026-05-22</x:v>
      </x:c>
      <x:c r="B79" s="6" t="str">
        <x:v>Semaine 4</x:v>
      </x:c>
      <x:c r="C79" s="6" t="str">
        <x:v>Vendredi</x:v>
      </x:c>
      <x:c r="D79" s="6" t="str">
        <x:v>Haut du corps</x:v>
      </x:c>
      <x:c r="E79" s="6" t="str">
        <x:v>Rowing haltère</x:v>
      </x:c>
      <x:c r="F79" s="6" t="n">
        <x:v>3</x:v>
      </x:c>
      <x:c r="G79" s="6" t="str">
        <x:v>8–12</x:v>
      </x:c>
      <x:c r="H79" s="6" t="n">
        <x:v>12</x:v>
      </x:c>
      <x:c r="I79" s="6" t="str"/>
      <x:c r="J79" s="6" t="str"/>
      <x:c r="K79" s="6" t="str"/>
      <x:c r="L79" s="6" t="str"/>
      <x:c r="M79" s="6" t="str"/>
      <x:c r="N79" s="6" t="n">
        <x:f>SUM(J79:M79)</x:f>
        <x:v>0</x:v>
      </x:c>
      <x:c r="O79" s="6" t="str">
        <x:f>IF(I79="","",I79*N79)</x:f>
      </x:c>
      <x:c r="P79" s="6" t="str">
        <x:f>IF(COUNTA(I79:M79)=0,"À remplir",IF(COUNT(J79:M79)&lt;F79,"Séries incomplètes",IF(MIN(J79:INDEX(J79:M79,1,F79))&gt;=H79,"Augmenter poids","Conserver")))</x:f>
        <x:v>Séries incomplètes</x:v>
      </x:c>
      <x:c r="Q79" s="6" t="str"/>
    </x:row>
    <x:row r="80" ht="15" hidden="0" customHeight="1">
      <x:c r="A80" s="6" t="str">
        <x:v>2026-05-22</x:v>
      </x:c>
      <x:c r="B80" s="6" t="str">
        <x:v>Semaine 4</x:v>
      </x:c>
      <x:c r="C80" s="6" t="str">
        <x:v>Vendredi</x:v>
      </x:c>
      <x:c r="D80" s="6" t="str">
        <x:v>Haut du corps</x:v>
      </x:c>
      <x:c r="E80" s="6" t="str">
        <x:v>Développé décliné haltères</x:v>
      </x:c>
      <x:c r="F80" s="6" t="n">
        <x:v>3</x:v>
      </x:c>
      <x:c r="G80" s="6" t="str">
        <x:v>8–12</x:v>
      </x:c>
      <x:c r="H80" s="6" t="n">
        <x:v>12</x:v>
      </x:c>
      <x:c r="I80" s="6" t="str"/>
      <x:c r="J80" s="6" t="str"/>
      <x:c r="K80" s="6" t="str"/>
      <x:c r="L80" s="6" t="str"/>
      <x:c r="M80" s="6" t="str"/>
      <x:c r="N80" s="6" t="n">
        <x:f>SUM(J80:M80)</x:f>
        <x:v>0</x:v>
      </x:c>
      <x:c r="O80" s="6" t="str">
        <x:f>IF(I80="","",I80*N80)</x:f>
      </x:c>
      <x:c r="P80" s="6" t="str">
        <x:f>IF(COUNTA(I80:M80)=0,"À remplir",IF(COUNT(J80:M80)&lt;F80,"Séries incomplètes",IF(MIN(J80:INDEX(J80:M80,1,F80))&gt;=H80,"Augmenter poids","Conserver")))</x:f>
        <x:v>Séries incomplètes</x:v>
      </x:c>
      <x:c r="Q80" s="6" t="str"/>
    </x:row>
    <x:row r="81" ht="15" hidden="0" customHeight="1">
      <x:c r="A81" s="6" t="str">
        <x:v>2026-05-22</x:v>
      </x:c>
      <x:c r="B81" s="6" t="str">
        <x:v>Semaine 4</x:v>
      </x:c>
      <x:c r="C81" s="6" t="str">
        <x:v>Vendredi</x:v>
      </x:c>
      <x:c r="D81" s="6" t="str">
        <x:v>Haut du corps</x:v>
      </x:c>
      <x:c r="E81" s="6" t="str">
        <x:v>Développé militaire haltères</x:v>
      </x:c>
      <x:c r="F81" s="6" t="n">
        <x:v>3</x:v>
      </x:c>
      <x:c r="G81" s="6" t="str">
        <x:v>8–12</x:v>
      </x:c>
      <x:c r="H81" s="6" t="n">
        <x:v>12</x:v>
      </x:c>
      <x:c r="I81" s="6" t="str"/>
      <x:c r="J81" s="6" t="str"/>
      <x:c r="K81" s="6" t="str"/>
      <x:c r="L81" s="6" t="str"/>
      <x:c r="M81" s="6" t="str"/>
      <x:c r="N81" s="6" t="n">
        <x:f>SUM(J81:M81)</x:f>
        <x:v>0</x:v>
      </x:c>
      <x:c r="O81" s="6" t="str">
        <x:f>IF(I81="","",I81*N81)</x:f>
      </x:c>
      <x:c r="P81" s="6" t="str">
        <x:f>IF(COUNTA(I81:M81)=0,"À remplir",IF(COUNT(J81:M81)&lt;F81,"Séries incomplètes",IF(MIN(J81:INDEX(J81:M81,1,F81))&gt;=H81,"Augmenter poids","Conserver")))</x:f>
        <x:v>Séries incomplètes</x:v>
      </x:c>
      <x:c r="Q81" s="6" t="str"/>
    </x:row>
    <x:row r="82" ht="15" hidden="0" customHeight="1">
      <x:c r="A82" s="6" t="str">
        <x:v>2026-05-22</x:v>
      </x:c>
      <x:c r="B82" s="6" t="str">
        <x:v>Semaine 4</x:v>
      </x:c>
      <x:c r="C82" s="6" t="str">
        <x:v>Vendredi</x:v>
      </x:c>
      <x:c r="D82" s="6" t="str">
        <x:v>Haut du corps</x:v>
      </x:c>
      <x:c r="E82" s="6" t="str">
        <x:v>Élévations latérales inclinées</x:v>
      </x:c>
      <x:c r="F82" s="6" t="n">
        <x:v>3</x:v>
      </x:c>
      <x:c r="G82" s="6" t="str">
        <x:v>12–15</x:v>
      </x:c>
      <x:c r="H82" s="6" t="n">
        <x:v>15</x:v>
      </x:c>
      <x:c r="I82" s="6" t="str"/>
      <x:c r="J82" s="6" t="str"/>
      <x:c r="K82" s="6" t="str"/>
      <x:c r="L82" s="6" t="str"/>
      <x:c r="M82" s="6" t="str"/>
      <x:c r="N82" s="6" t="n">
        <x:f>SUM(J82:M82)</x:f>
        <x:v>0</x:v>
      </x:c>
      <x:c r="O82" s="6" t="str">
        <x:f>IF(I82="","",I82*N82)</x:f>
      </x:c>
      <x:c r="P82" s="6" t="str">
        <x:f>IF(COUNTA(I82:M82)=0,"À remplir",IF(COUNT(J82:M82)&lt;F82,"Séries incomplètes",IF(MIN(J82:INDEX(J82:M82,1,F82))&gt;=H82,"Augmenter poids","Conserver")))</x:f>
        <x:v>Séries incomplètes</x:v>
      </x:c>
      <x:c r="Q82" s="6" t="str"/>
    </x:row>
    <x:row r="83" ht="15" hidden="0" customHeight="1">
      <x:c r="A83" s="6" t="str">
        <x:v>2026-05-22</x:v>
      </x:c>
      <x:c r="B83" s="6" t="str">
        <x:v>Semaine 4</x:v>
      </x:c>
      <x:c r="C83" s="6" t="str">
        <x:v>Vendredi</x:v>
      </x:c>
      <x:c r="D83" s="6" t="str">
        <x:v>Haut du corps</x:v>
      </x:c>
      <x:c r="E83" s="6" t="str">
        <x:v>Curl incliné haltères</x:v>
      </x:c>
      <x:c r="F83" s="6" t="n">
        <x:v>2</x:v>
      </x:c>
      <x:c r="G83" s="6" t="str">
        <x:v>10–12</x:v>
      </x:c>
      <x:c r="H83" s="6" t="n">
        <x:v>12</x:v>
      </x:c>
      <x:c r="I83" s="6" t="str"/>
      <x:c r="J83" s="6" t="str"/>
      <x:c r="K83" s="6" t="str"/>
      <x:c r="L83" s="6" t="str"/>
      <x:c r="M83" s="6" t="str"/>
      <x:c r="N83" s="6" t="n">
        <x:f>SUM(J83:M83)</x:f>
        <x:v>0</x:v>
      </x:c>
      <x:c r="O83" s="6" t="str">
        <x:f>IF(I83="","",I83*N83)</x:f>
      </x:c>
      <x:c r="P83" s="6" t="str">
        <x:f>IF(COUNTA(I83:M83)=0,"À remplir",IF(COUNT(J83:M83)&lt;F83,"Séries incomplètes",IF(MIN(J83:INDEX(J83:M83,1,F83))&gt;=H83,"Augmenter poids","Conserver")))</x:f>
        <x:v>Séries incomplètes</x:v>
      </x:c>
      <x:c r="Q83" s="6" t="str"/>
    </x:row>
    <x:row r="84" ht="15" hidden="0" customHeight="1">
      <x:c r="A84" s="6" t="str">
        <x:v>2026-05-22</x:v>
      </x:c>
      <x:c r="B84" s="6" t="str">
        <x:v>Semaine 4</x:v>
      </x:c>
      <x:c r="C84" s="6" t="str">
        <x:v>Vendredi</x:v>
      </x:c>
      <x:c r="D84" s="6" t="str">
        <x:v>Haut du corps</x:v>
      </x:c>
      <x:c r="E84" s="6" t="str">
        <x:v>Extension triceps au front haltère</x:v>
      </x:c>
      <x:c r="F84" s="6" t="n">
        <x:v>2</x:v>
      </x:c>
      <x:c r="G84" s="6" t="str">
        <x:v>10–15</x:v>
      </x:c>
      <x:c r="H84" s="6" t="n">
        <x:v>15</x:v>
      </x:c>
      <x:c r="I84" s="6" t="str"/>
      <x:c r="J84" s="6" t="str"/>
      <x:c r="K84" s="6" t="str"/>
      <x:c r="L84" s="6" t="str"/>
      <x:c r="M84" s="6" t="str"/>
      <x:c r="N84" s="6" t="n">
        <x:f>SUM(J84:M84)</x:f>
        <x:v>0</x:v>
      </x:c>
      <x:c r="O84" s="6" t="str">
        <x:f>IF(I84="","",I84*N84)</x:f>
      </x:c>
      <x:c r="P84" s="6" t="str">
        <x:f>IF(COUNTA(I84:M84)=0,"À remplir",IF(COUNT(J84:M84)&lt;F84,"Séries incomplètes",IF(MIN(J84:INDEX(J84:M84,1,F84))&gt;=H84,"Augmenter poids","Conserver")))</x:f>
        <x:v>Séries incomplètes</x:v>
      </x:c>
      <x:c r="Q84" s="6" t="str"/>
    </x:row>
    <x:row r="85" ht="15" hidden="0" customHeight="1">
      <x:c r="A85" s="6" t="str">
        <x:v>2026-05-23</x:v>
      </x:c>
      <x:c r="B85" s="6" t="str">
        <x:v>Semaine 4</x:v>
      </x:c>
      <x:c r="C85" s="6" t="str">
        <x:v>Samedi</x:v>
      </x:c>
      <x:c r="D85" s="6" t="str">
        <x:v>Bras + épaules</x:v>
      </x:c>
      <x:c r="E85" s="6" t="str">
        <x:v>Élévations latérales inclinées</x:v>
      </x:c>
      <x:c r="F85" s="6" t="n">
        <x:v>4</x:v>
      </x:c>
      <x:c r="G85" s="6" t="str">
        <x:v>12–20</x:v>
      </x:c>
      <x:c r="H85" s="6" t="n">
        <x:v>20</x:v>
      </x:c>
      <x:c r="I85" s="6" t="str"/>
      <x:c r="J85" s="6" t="str"/>
      <x:c r="K85" s="6" t="str"/>
      <x:c r="L85" s="6" t="str"/>
      <x:c r="M85" s="6" t="str"/>
      <x:c r="N85" s="6" t="n">
        <x:f>SUM(J85:M85)</x:f>
        <x:v>0</x:v>
      </x:c>
      <x:c r="O85" s="6" t="str">
        <x:f>IF(I85="","",I85*N85)</x:f>
      </x:c>
      <x:c r="P85" s="6" t="str">
        <x:f>IF(COUNTA(I85:M85)=0,"À remplir",IF(COUNT(J85:M85)&lt;F85,"Séries incomplètes",IF(MIN(J85:INDEX(J85:M85,1,F85))&gt;=H85,"Augmenter poids","Conserver")))</x:f>
        <x:v>Séries incomplètes</x:v>
      </x:c>
      <x:c r="Q85" s="6" t="str"/>
    </x:row>
    <x:row r="86" ht="15" hidden="0" customHeight="1">
      <x:c r="A86" s="6" t="str">
        <x:v>2026-05-23</x:v>
      </x:c>
      <x:c r="B86" s="6" t="str">
        <x:v>Semaine 4</x:v>
      </x:c>
      <x:c r="C86" s="6" t="str">
        <x:v>Samedi</x:v>
      </x:c>
      <x:c r="D86" s="6" t="str">
        <x:v>Bras + épaules</x:v>
      </x:c>
      <x:c r="E86" s="6" t="str">
        <x:v>Pec deck inversé / oiseau haltères</x:v>
      </x:c>
      <x:c r="F86" s="6" t="n">
        <x:v>3</x:v>
      </x:c>
      <x:c r="G86" s="6" t="str">
        <x:v>12–15</x:v>
      </x:c>
      <x:c r="H86" s="6" t="n">
        <x:v>15</x:v>
      </x:c>
      <x:c r="I86" s="6" t="str"/>
      <x:c r="J86" s="6" t="str"/>
      <x:c r="K86" s="6" t="str"/>
      <x:c r="L86" s="6" t="str"/>
      <x:c r="M86" s="6" t="str"/>
      <x:c r="N86" s="6" t="n">
        <x:f>SUM(J86:M86)</x:f>
        <x:v>0</x:v>
      </x:c>
      <x:c r="O86" s="6" t="str">
        <x:f>IF(I86="","",I86*N86)</x:f>
      </x:c>
      <x:c r="P86" s="6" t="str">
        <x:f>IF(COUNTA(I86:M86)=0,"À remplir",IF(COUNT(J86:M86)&lt;F86,"Séries incomplètes",IF(MIN(J86:INDEX(J86:M86,1,F86))&gt;=H86,"Augmenter poids","Conserver")))</x:f>
        <x:v>Séries incomplètes</x:v>
      </x:c>
      <x:c r="Q86" s="6" t="str"/>
    </x:row>
    <x:row r="87" ht="15" hidden="0" customHeight="1">
      <x:c r="A87" s="6" t="str">
        <x:v>2026-05-23</x:v>
      </x:c>
      <x:c r="B87" s="6" t="str">
        <x:v>Semaine 4</x:v>
      </x:c>
      <x:c r="C87" s="6" t="str">
        <x:v>Samedi</x:v>
      </x:c>
      <x:c r="D87" s="6" t="str">
        <x:v>Bras + épaules</x:v>
      </x:c>
      <x:c r="E87" s="6" t="str">
        <x:v>Spider curl haltères</x:v>
      </x:c>
      <x:c r="F87" s="6" t="n">
        <x:v>3</x:v>
      </x:c>
      <x:c r="G87" s="6" t="str">
        <x:v>10–12</x:v>
      </x:c>
      <x:c r="H87" s="6" t="n">
        <x:v>12</x:v>
      </x:c>
      <x:c r="I87" s="6" t="str"/>
      <x:c r="J87" s="6" t="str"/>
      <x:c r="K87" s="6" t="str"/>
      <x:c r="L87" s="6" t="str"/>
      <x:c r="M87" s="6" t="str"/>
      <x:c r="N87" s="6" t="n">
        <x:f>SUM(J87:M87)</x:f>
        <x:v>0</x:v>
      </x:c>
      <x:c r="O87" s="6" t="str">
        <x:f>IF(I87="","",I87*N87)</x:f>
      </x:c>
      <x:c r="P87" s="6" t="str">
        <x:f>IF(COUNTA(I87:M87)=0,"À remplir",IF(COUNT(J87:M87)&lt;F87,"Séries incomplètes",IF(MIN(J87:INDEX(J87:M87,1,F87))&gt;=H87,"Augmenter poids","Conserver")))</x:f>
        <x:v>Séries incomplètes</x:v>
      </x:c>
      <x:c r="Q87" s="6" t="str"/>
    </x:row>
    <x:row r="88" ht="15" hidden="0" customHeight="1">
      <x:c r="A88" s="6" t="str">
        <x:v>2026-05-23</x:v>
      </x:c>
      <x:c r="B88" s="6" t="str">
        <x:v>Semaine 4</x:v>
      </x:c>
      <x:c r="C88" s="6" t="str">
        <x:v>Samedi</x:v>
      </x:c>
      <x:c r="D88" s="6" t="str">
        <x:v>Bras + épaules</x:v>
      </x:c>
      <x:c r="E88" s="6" t="str">
        <x:v>Curl incliné haltères</x:v>
      </x:c>
      <x:c r="F88" s="6" t="n">
        <x:v>3</x:v>
      </x:c>
      <x:c r="G88" s="6" t="str">
        <x:v>10–12</x:v>
      </x:c>
      <x:c r="H88" s="6" t="n">
        <x:v>12</x:v>
      </x:c>
      <x:c r="I88" s="6" t="str"/>
      <x:c r="J88" s="6" t="str"/>
      <x:c r="K88" s="6" t="str"/>
      <x:c r="L88" s="6" t="str"/>
      <x:c r="M88" s="6" t="str"/>
      <x:c r="N88" s="6" t="n">
        <x:f>SUM(J88:M88)</x:f>
        <x:v>0</x:v>
      </x:c>
      <x:c r="O88" s="6" t="str">
        <x:f>IF(I88="","",I88*N88)</x:f>
      </x:c>
      <x:c r="P88" s="6" t="str">
        <x:f>IF(COUNTA(I88:M88)=0,"À remplir",IF(COUNT(J88:M88)&lt;F88,"Séries incomplètes",IF(MIN(J88:INDEX(J88:M88,1,F88))&gt;=H88,"Augmenter poids","Conserver")))</x:f>
        <x:v>Séries incomplètes</x:v>
      </x:c>
      <x:c r="Q88" s="6" t="str"/>
    </x:row>
    <x:row r="89" ht="15" hidden="0" customHeight="1">
      <x:c r="A89" s="6" t="str">
        <x:v>2026-05-23</x:v>
      </x:c>
      <x:c r="B89" s="6" t="str">
        <x:v>Semaine 4</x:v>
      </x:c>
      <x:c r="C89" s="6" t="str">
        <x:v>Samedi</x:v>
      </x:c>
      <x:c r="D89" s="6" t="str">
        <x:v>Bras + épaules</x:v>
      </x:c>
      <x:c r="E89" s="6" t="str">
        <x:v>Extension triceps au front haltère</x:v>
      </x:c>
      <x:c r="F89" s="6" t="n">
        <x:v>3</x:v>
      </x:c>
      <x:c r="G89" s="6" t="str">
        <x:v>10–15</x:v>
      </x:c>
      <x:c r="H89" s="6" t="n">
        <x:v>15</x:v>
      </x:c>
      <x:c r="I89" s="6" t="str"/>
      <x:c r="J89" s="6" t="str"/>
      <x:c r="K89" s="6" t="str"/>
      <x:c r="L89" s="6" t="str"/>
      <x:c r="M89" s="6" t="str"/>
      <x:c r="N89" s="6" t="n">
        <x:f>SUM(J89:M89)</x:f>
        <x:v>0</x:v>
      </x:c>
      <x:c r="O89" s="6" t="str">
        <x:f>IF(I89="","",I89*N89)</x:f>
      </x:c>
      <x:c r="P89" s="6" t="str">
        <x:f>IF(COUNTA(I89:M89)=0,"À remplir",IF(COUNT(J89:M89)&lt;F89,"Séries incomplètes",IF(MIN(J89:INDEX(J89:M89,1,F89))&gt;=H89,"Augmenter poids","Conserver")))</x:f>
        <x:v>Séries incomplètes</x:v>
      </x:c>
      <x:c r="Q89" s="6" t="str"/>
    </x:row>
    <x:row r="90" ht="15" hidden="0" customHeight="1">
      <x:c r="A90" s="6" t="str">
        <x:v>2026-05-25</x:v>
      </x:c>
      <x:c r="B90" s="6" t="str">
        <x:v>Semaine 5</x:v>
      </x:c>
      <x:c r="C90" s="6" t="str">
        <x:v>Lundi</x:v>
      </x:c>
      <x:c r="D90" s="6" t="str">
        <x:v>Push</x:v>
      </x:c>
      <x:c r="E90" s="6" t="str">
        <x:v>Développé décliné haltères</x:v>
      </x:c>
      <x:c r="F90" s="6" t="n">
        <x:v>4</x:v>
      </x:c>
      <x:c r="G90" s="6" t="str">
        <x:v>6–10</x:v>
      </x:c>
      <x:c r="H90" s="6" t="n">
        <x:v>10</x:v>
      </x:c>
      <x:c r="I90" s="6" t="str"/>
      <x:c r="J90" s="6" t="str"/>
      <x:c r="K90" s="6" t="str"/>
      <x:c r="L90" s="6" t="str"/>
      <x:c r="M90" s="6" t="str"/>
      <x:c r="N90" s="6" t="n">
        <x:f>SUM(J90:M90)</x:f>
        <x:v>0</x:v>
      </x:c>
      <x:c r="O90" s="6" t="str">
        <x:f>IF(I90="","",I90*N90)</x:f>
      </x:c>
      <x:c r="P90" s="6" t="str">
        <x:f>IF(COUNTA(I90:M90)=0,"À remplir",IF(COUNT(J90:M90)&lt;F90,"Séries incomplètes",IF(MIN(J90:INDEX(J90:M90,1,F90))&gt;=H90,"Augmenter poids","Conserver")))</x:f>
        <x:v>Séries incomplètes</x:v>
      </x:c>
      <x:c r="Q90" s="6" t="str"/>
    </x:row>
    <x:row r="91" ht="15" hidden="0" customHeight="1">
      <x:c r="A91" s="6" t="str">
        <x:v>2026-05-25</x:v>
      </x:c>
      <x:c r="B91" s="6" t="str">
        <x:v>Semaine 5</x:v>
      </x:c>
      <x:c r="C91" s="6" t="str">
        <x:v>Lundi</x:v>
      </x:c>
      <x:c r="D91" s="6" t="str">
        <x:v>Push</x:v>
      </x:c>
      <x:c r="E91" s="6" t="str">
        <x:v>Développé militaire haltères</x:v>
      </x:c>
      <x:c r="F91" s="6" t="n">
        <x:v>4</x:v>
      </x:c>
      <x:c r="G91" s="6" t="str">
        <x:v>6–10</x:v>
      </x:c>
      <x:c r="H91" s="6" t="n">
        <x:v>10</x:v>
      </x:c>
      <x:c r="I91" s="6" t="str"/>
      <x:c r="J91" s="6" t="str"/>
      <x:c r="K91" s="6" t="str"/>
      <x:c r="L91" s="6" t="str"/>
      <x:c r="M91" s="6" t="str"/>
      <x:c r="N91" s="6" t="n">
        <x:f>SUM(J91:M91)</x:f>
        <x:v>0</x:v>
      </x:c>
      <x:c r="O91" s="6" t="str">
        <x:f>IF(I91="","",I91*N91)</x:f>
      </x:c>
      <x:c r="P91" s="6" t="str">
        <x:f>IF(COUNTA(I91:M91)=0,"À remplir",IF(COUNT(J91:M91)&lt;F91,"Séries incomplètes",IF(MIN(J91:INDEX(J91:M91,1,F91))&gt;=H91,"Augmenter poids","Conserver")))</x:f>
        <x:v>Séries incomplètes</x:v>
      </x:c>
      <x:c r="Q91" s="6" t="str"/>
    </x:row>
    <x:row r="92" ht="15" hidden="0" customHeight="1">
      <x:c r="A92" s="6" t="str">
        <x:v>2026-05-25</x:v>
      </x:c>
      <x:c r="B92" s="6" t="str">
        <x:v>Semaine 5</x:v>
      </x:c>
      <x:c r="C92" s="6" t="str">
        <x:v>Lundi</x:v>
      </x:c>
      <x:c r="D92" s="6" t="str">
        <x:v>Push</x:v>
      </x:c>
      <x:c r="E92" s="6" t="str">
        <x:v>Élévations latérales inclinées</x:v>
      </x:c>
      <x:c r="F92" s="6" t="n">
        <x:v>3</x:v>
      </x:c>
      <x:c r="G92" s="6" t="str">
        <x:v>12–15</x:v>
      </x:c>
      <x:c r="H92" s="6" t="n">
        <x:v>15</x:v>
      </x:c>
      <x:c r="I92" s="6" t="str"/>
      <x:c r="J92" s="6" t="str"/>
      <x:c r="K92" s="6" t="str"/>
      <x:c r="L92" s="6" t="str"/>
      <x:c r="M92" s="6" t="str"/>
      <x:c r="N92" s="6" t="n">
        <x:f>SUM(J92:M92)</x:f>
        <x:v>0</x:v>
      </x:c>
      <x:c r="O92" s="6" t="str">
        <x:f>IF(I92="","",I92*N92)</x:f>
      </x:c>
      <x:c r="P92" s="6" t="str">
        <x:f>IF(COUNTA(I92:M92)=0,"À remplir",IF(COUNT(J92:M92)&lt;F92,"Séries incomplètes",IF(MIN(J92:INDEX(J92:M92,1,F92))&gt;=H92,"Augmenter poids","Conserver")))</x:f>
        <x:v>Séries incomplètes</x:v>
      </x:c>
      <x:c r="Q92" s="6" t="str"/>
    </x:row>
    <x:row r="93" ht="15" hidden="0" customHeight="1">
      <x:c r="A93" s="6" t="str">
        <x:v>2026-05-25</x:v>
      </x:c>
      <x:c r="B93" s="6" t="str">
        <x:v>Semaine 5</x:v>
      </x:c>
      <x:c r="C93" s="6" t="str">
        <x:v>Lundi</x:v>
      </x:c>
      <x:c r="D93" s="6" t="str">
        <x:v>Push</x:v>
      </x:c>
      <x:c r="E93" s="6" t="str">
        <x:v>Extension triceps au front haltère</x:v>
      </x:c>
      <x:c r="F93" s="6" t="n">
        <x:v>3</x:v>
      </x:c>
      <x:c r="G93" s="6" t="str">
        <x:v>10–15</x:v>
      </x:c>
      <x:c r="H93" s="6" t="n">
        <x:v>15</x:v>
      </x:c>
      <x:c r="I93" s="6" t="str"/>
      <x:c r="J93" s="6" t="str"/>
      <x:c r="K93" s="6" t="str"/>
      <x:c r="L93" s="6" t="str"/>
      <x:c r="M93" s="6" t="str"/>
      <x:c r="N93" s="6" t="n">
        <x:f>SUM(J93:M93)</x:f>
        <x:v>0</x:v>
      </x:c>
      <x:c r="O93" s="6" t="str">
        <x:f>IF(I93="","",I93*N93)</x:f>
      </x:c>
      <x:c r="P93" s="6" t="str">
        <x:f>IF(COUNTA(I93:M93)=0,"À remplir",IF(COUNT(J93:M93)&lt;F93,"Séries incomplètes",IF(MIN(J93:INDEX(J93:M93,1,F93))&gt;=H93,"Augmenter poids","Conserver")))</x:f>
        <x:v>Séries incomplètes</x:v>
      </x:c>
      <x:c r="Q93" s="6" t="str"/>
    </x:row>
    <x:row r="94" ht="15" hidden="0" customHeight="1">
      <x:c r="A94" s="6" t="str">
        <x:v>2026-05-26</x:v>
      </x:c>
      <x:c r="B94" s="6" t="str">
        <x:v>Semaine 5</x:v>
      </x:c>
      <x:c r="C94" s="6" t="str">
        <x:v>Mardi</x:v>
      </x:c>
      <x:c r="D94" s="6" t="str">
        <x:v>Pull</x:v>
      </x:c>
      <x:c r="E94" s="6" t="str">
        <x:v>Rowing haltère</x:v>
      </x:c>
      <x:c r="F94" s="6" t="n">
        <x:v>4</x:v>
      </x:c>
      <x:c r="G94" s="6" t="str">
        <x:v>8–12</x:v>
      </x:c>
      <x:c r="H94" s="6" t="n">
        <x:v>12</x:v>
      </x:c>
      <x:c r="I94" s="6" t="str"/>
      <x:c r="J94" s="6" t="str"/>
      <x:c r="K94" s="6" t="str"/>
      <x:c r="L94" s="6" t="str"/>
      <x:c r="M94" s="6" t="str"/>
      <x:c r="N94" s="6" t="n">
        <x:f>SUM(J94:M94)</x:f>
        <x:v>0</x:v>
      </x:c>
      <x:c r="O94" s="6" t="str">
        <x:f>IF(I94="","",I94*N94)</x:f>
      </x:c>
      <x:c r="P94" s="6" t="str">
        <x:f>IF(COUNTA(I94:M94)=0,"À remplir",IF(COUNT(J94:M94)&lt;F94,"Séries incomplètes",IF(MIN(J94:INDEX(J94:M94,1,F94))&gt;=H94,"Augmenter poids","Conserver")))</x:f>
        <x:v>Séries incomplètes</x:v>
      </x:c>
      <x:c r="Q94" s="6" t="str"/>
    </x:row>
    <x:row r="95" ht="15" hidden="0" customHeight="1">
      <x:c r="A95" s="6" t="str">
        <x:v>2026-05-26</x:v>
      </x:c>
      <x:c r="B95" s="6" t="str">
        <x:v>Semaine 5</x:v>
      </x:c>
      <x:c r="C95" s="6" t="str">
        <x:v>Mardi</x:v>
      </x:c>
      <x:c r="D95" s="6" t="str">
        <x:v>Pull</x:v>
      </x:c>
      <x:c r="E95" s="6" t="str">
        <x:v>Pec deck inversé / oiseau haltères</x:v>
      </x:c>
      <x:c r="F95" s="6" t="n">
        <x:v>3</x:v>
      </x:c>
      <x:c r="G95" s="6" t="str">
        <x:v>12–15</x:v>
      </x:c>
      <x:c r="H95" s="6" t="n">
        <x:v>15</x:v>
      </x:c>
      <x:c r="I95" s="6" t="str"/>
      <x:c r="J95" s="6" t="str"/>
      <x:c r="K95" s="6" t="str"/>
      <x:c r="L95" s="6" t="str"/>
      <x:c r="M95" s="6" t="str"/>
      <x:c r="N95" s="6" t="n">
        <x:f>SUM(J95:M95)</x:f>
        <x:v>0</x:v>
      </x:c>
      <x:c r="O95" s="6" t="str">
        <x:f>IF(I95="","",I95*N95)</x:f>
      </x:c>
      <x:c r="P95" s="6" t="str">
        <x:f>IF(COUNTA(I95:M95)=0,"À remplir",IF(COUNT(J95:M95)&lt;F95,"Séries incomplètes",IF(MIN(J95:INDEX(J95:M95,1,F95))&gt;=H95,"Augmenter poids","Conserver")))</x:f>
        <x:v>Séries incomplètes</x:v>
      </x:c>
      <x:c r="Q95" s="6" t="str"/>
    </x:row>
    <x:row r="96" ht="15" hidden="0" customHeight="1">
      <x:c r="A96" s="6" t="str">
        <x:v>2026-05-26</x:v>
      </x:c>
      <x:c r="B96" s="6" t="str">
        <x:v>Semaine 5</x:v>
      </x:c>
      <x:c r="C96" s="6" t="str">
        <x:v>Mardi</x:v>
      </x:c>
      <x:c r="D96" s="6" t="str">
        <x:v>Pull</x:v>
      </x:c>
      <x:c r="E96" s="6" t="str">
        <x:v>Curl incliné haltères</x:v>
      </x:c>
      <x:c r="F96" s="6" t="n">
        <x:v>3</x:v>
      </x:c>
      <x:c r="G96" s="6" t="str">
        <x:v>10–12</x:v>
      </x:c>
      <x:c r="H96" s="6" t="n">
        <x:v>12</x:v>
      </x:c>
      <x:c r="I96" s="6" t="str"/>
      <x:c r="J96" s="6" t="str"/>
      <x:c r="K96" s="6" t="str"/>
      <x:c r="L96" s="6" t="str"/>
      <x:c r="M96" s="6" t="str"/>
      <x:c r="N96" s="6" t="n">
        <x:f>SUM(J96:M96)</x:f>
        <x:v>0</x:v>
      </x:c>
      <x:c r="O96" s="6" t="str">
        <x:f>IF(I96="","",I96*N96)</x:f>
      </x:c>
      <x:c r="P96" s="6" t="str">
        <x:f>IF(COUNTA(I96:M96)=0,"À remplir",IF(COUNT(J96:M96)&lt;F96,"Séries incomplètes",IF(MIN(J96:INDEX(J96:M96,1,F96))&gt;=H96,"Augmenter poids","Conserver")))</x:f>
        <x:v>Séries incomplètes</x:v>
      </x:c>
      <x:c r="Q96" s="6" t="str"/>
    </x:row>
    <x:row r="97" ht="15" hidden="0" customHeight="1">
      <x:c r="A97" s="6" t="str">
        <x:v>2026-05-26</x:v>
      </x:c>
      <x:c r="B97" s="6" t="str">
        <x:v>Semaine 5</x:v>
      </x:c>
      <x:c r="C97" s="6" t="str">
        <x:v>Mardi</x:v>
      </x:c>
      <x:c r="D97" s="6" t="str">
        <x:v>Pull</x:v>
      </x:c>
      <x:c r="E97" s="6" t="str">
        <x:v>Spider curl haltères</x:v>
      </x:c>
      <x:c r="F97" s="6" t="n">
        <x:v>3</x:v>
      </x:c>
      <x:c r="G97" s="6" t="str">
        <x:v>10–12</x:v>
      </x:c>
      <x:c r="H97" s="6" t="n">
        <x:v>12</x:v>
      </x:c>
      <x:c r="I97" s="6" t="str"/>
      <x:c r="J97" s="6" t="str"/>
      <x:c r="K97" s="6" t="str"/>
      <x:c r="L97" s="6" t="str"/>
      <x:c r="M97" s="6" t="str"/>
      <x:c r="N97" s="6" t="n">
        <x:f>SUM(J97:M97)</x:f>
        <x:v>0</x:v>
      </x:c>
      <x:c r="O97" s="6" t="str">
        <x:f>IF(I97="","",I97*N97)</x:f>
      </x:c>
      <x:c r="P97" s="6" t="str">
        <x:f>IF(COUNTA(I97:M97)=0,"À remplir",IF(COUNT(J97:M97)&lt;F97,"Séries incomplètes",IF(MIN(J97:INDEX(J97:M97,1,F97))&gt;=H97,"Augmenter poids","Conserver")))</x:f>
        <x:v>Séries incomplètes</x:v>
      </x:c>
      <x:c r="Q97" s="6" t="str"/>
    </x:row>
    <x:row r="98" ht="15" hidden="0" customHeight="1">
      <x:c r="A98" s="6" t="str">
        <x:v>2026-05-27</x:v>
      </x:c>
      <x:c r="B98" s="6" t="str">
        <x:v>Semaine 5</x:v>
      </x:c>
      <x:c r="C98" s="6" t="str">
        <x:v>Mercredi</x:v>
      </x:c>
      <x:c r="D98" s="6" t="str">
        <x:v>Jambes</x:v>
      </x:c>
      <x:c r="E98" s="6" t="str">
        <x:v>Goblet squat</x:v>
      </x:c>
      <x:c r="F98" s="6" t="n">
        <x:v>4</x:v>
      </x:c>
      <x:c r="G98" s="6" t="str">
        <x:v>10–20</x:v>
      </x:c>
      <x:c r="H98" s="6" t="n">
        <x:v>20</x:v>
      </x:c>
      <x:c r="I98" s="6" t="str"/>
      <x:c r="J98" s="6" t="str"/>
      <x:c r="K98" s="6" t="str"/>
      <x:c r="L98" s="6" t="str"/>
      <x:c r="M98" s="6" t="str"/>
      <x:c r="N98" s="6" t="n">
        <x:f>SUM(J98:M98)</x:f>
        <x:v>0</x:v>
      </x:c>
      <x:c r="O98" s="6" t="str">
        <x:f>IF(I98="","",I98*N98)</x:f>
      </x:c>
      <x:c r="P98" s="6" t="str">
        <x:f>IF(COUNTA(I98:M98)=0,"À remplir",IF(COUNT(J98:M98)&lt;F98,"Séries incomplètes",IF(MIN(J98:INDEX(J98:M98,1,F98))&gt;=H98,"Augmenter poids","Conserver")))</x:f>
        <x:v>Séries incomplètes</x:v>
      </x:c>
      <x:c r="Q98" s="6" t="str"/>
    </x:row>
    <x:row r="99" ht="15" hidden="0" customHeight="1">
      <x:c r="A99" s="6" t="str">
        <x:v>2026-05-27</x:v>
      </x:c>
      <x:c r="B99" s="6" t="str">
        <x:v>Semaine 5</x:v>
      </x:c>
      <x:c r="C99" s="6" t="str">
        <x:v>Mercredi</x:v>
      </x:c>
      <x:c r="D99" s="6" t="str">
        <x:v>Jambes</x:v>
      </x:c>
      <x:c r="E99" s="6" t="str">
        <x:v>Fentes haltères</x:v>
      </x:c>
      <x:c r="F99" s="6" t="n">
        <x:v>3</x:v>
      </x:c>
      <x:c r="G99" s="6" t="str">
        <x:v>10–15 / jambe</x:v>
      </x:c>
      <x:c r="H99" s="6" t="n">
        <x:v>15</x:v>
      </x:c>
      <x:c r="I99" s="6" t="str"/>
      <x:c r="J99" s="6" t="str"/>
      <x:c r="K99" s="6" t="str"/>
      <x:c r="L99" s="6" t="str"/>
      <x:c r="M99" s="6" t="str"/>
      <x:c r="N99" s="6" t="n">
        <x:f>SUM(J99:M99)</x:f>
        <x:v>0</x:v>
      </x:c>
      <x:c r="O99" s="6" t="str">
        <x:f>IF(I99="","",I99*N99)</x:f>
      </x:c>
      <x:c r="P99" s="6" t="str">
        <x:f>IF(COUNTA(I99:M99)=0,"À remplir",IF(COUNT(J99:M99)&lt;F99,"Séries incomplètes",IF(MIN(J99:INDEX(J99:M99,1,F99))&gt;=H99,"Augmenter poids","Conserver")))</x:f>
        <x:v>Séries incomplètes</x:v>
      </x:c>
      <x:c r="Q99" s="6" t="str"/>
    </x:row>
    <x:row r="100" ht="15" hidden="0" customHeight="1">
      <x:c r="A100" s="6" t="str">
        <x:v>2026-05-27</x:v>
      </x:c>
      <x:c r="B100" s="6" t="str">
        <x:v>Semaine 5</x:v>
      </x:c>
      <x:c r="C100" s="6" t="str">
        <x:v>Mercredi</x:v>
      </x:c>
      <x:c r="D100" s="6" t="str">
        <x:v>Jambes</x:v>
      </x:c>
      <x:c r="E100" s="6" t="str">
        <x:v>Soulevé de terre jambes tendues haltères</x:v>
      </x:c>
      <x:c r="F100" s="6" t="n">
        <x:v>3</x:v>
      </x:c>
      <x:c r="G100" s="6" t="str">
        <x:v>10–15</x:v>
      </x:c>
      <x:c r="H100" s="6" t="n">
        <x:v>15</x:v>
      </x:c>
      <x:c r="I100" s="6" t="str"/>
      <x:c r="J100" s="6" t="str"/>
      <x:c r="K100" s="6" t="str"/>
      <x:c r="L100" s="6" t="str"/>
      <x:c r="M100" s="6" t="str"/>
      <x:c r="N100" s="6" t="n">
        <x:f>SUM(J100:M100)</x:f>
        <x:v>0</x:v>
      </x:c>
      <x:c r="O100" s="6" t="str">
        <x:f>IF(I100="","",I100*N100)</x:f>
      </x:c>
      <x:c r="P100" s="6" t="str">
        <x:f>IF(COUNTA(I100:M100)=0,"À remplir",IF(COUNT(J100:M100)&lt;F100,"Séries incomplètes",IF(MIN(J100:INDEX(J100:M100,1,F100))&gt;=H100,"Augmenter poids","Conserver")))</x:f>
        <x:v>Séries incomplètes</x:v>
      </x:c>
      <x:c r="Q100" s="6" t="str"/>
    </x:row>
    <x:row r="101" ht="15" hidden="0" customHeight="1">
      <x:c r="A101" s="6" t="str">
        <x:v>2026-05-29</x:v>
      </x:c>
      <x:c r="B101" s="6" t="str">
        <x:v>Semaine 5</x:v>
      </x:c>
      <x:c r="C101" s="6" t="str">
        <x:v>Vendredi</x:v>
      </x:c>
      <x:c r="D101" s="6" t="str">
        <x:v>Haut du corps</x:v>
      </x:c>
      <x:c r="E101" s="6" t="str">
        <x:v>Rowing haltère</x:v>
      </x:c>
      <x:c r="F101" s="6" t="n">
        <x:v>3</x:v>
      </x:c>
      <x:c r="G101" s="6" t="str">
        <x:v>8–12</x:v>
      </x:c>
      <x:c r="H101" s="6" t="n">
        <x:v>12</x:v>
      </x:c>
      <x:c r="I101" s="6" t="str"/>
      <x:c r="J101" s="6" t="str"/>
      <x:c r="K101" s="6" t="str"/>
      <x:c r="L101" s="6" t="str"/>
      <x:c r="M101" s="6" t="str"/>
      <x:c r="N101" s="6" t="n">
        <x:f>SUM(J101:M101)</x:f>
        <x:v>0</x:v>
      </x:c>
      <x:c r="O101" s="6" t="str">
        <x:f>IF(I101="","",I101*N101)</x:f>
      </x:c>
      <x:c r="P101" s="6" t="str">
        <x:f>IF(COUNTA(I101:M101)=0,"À remplir",IF(COUNT(J101:M101)&lt;F101,"Séries incomplètes",IF(MIN(J101:INDEX(J101:M101,1,F101))&gt;=H101,"Augmenter poids","Conserver")))</x:f>
        <x:v>Séries incomplètes</x:v>
      </x:c>
      <x:c r="Q101" s="6" t="str"/>
    </x:row>
    <x:row r="102" ht="15" hidden="0" customHeight="1">
      <x:c r="A102" s="6" t="str">
        <x:v>2026-05-29</x:v>
      </x:c>
      <x:c r="B102" s="6" t="str">
        <x:v>Semaine 5</x:v>
      </x:c>
      <x:c r="C102" s="6" t="str">
        <x:v>Vendredi</x:v>
      </x:c>
      <x:c r="D102" s="6" t="str">
        <x:v>Haut du corps</x:v>
      </x:c>
      <x:c r="E102" s="6" t="str">
        <x:v>Développé décliné haltères</x:v>
      </x:c>
      <x:c r="F102" s="6" t="n">
        <x:v>3</x:v>
      </x:c>
      <x:c r="G102" s="6" t="str">
        <x:v>8–12</x:v>
      </x:c>
      <x:c r="H102" s="6" t="n">
        <x:v>12</x:v>
      </x:c>
      <x:c r="I102" s="6" t="str"/>
      <x:c r="J102" s="6" t="str"/>
      <x:c r="K102" s="6" t="str"/>
      <x:c r="L102" s="6" t="str"/>
      <x:c r="M102" s="6" t="str"/>
      <x:c r="N102" s="6" t="n">
        <x:f>SUM(J102:M102)</x:f>
        <x:v>0</x:v>
      </x:c>
      <x:c r="O102" s="6" t="str">
        <x:f>IF(I102="","",I102*N102)</x:f>
      </x:c>
      <x:c r="P102" s="6" t="str">
        <x:f>IF(COUNTA(I102:M102)=0,"À remplir",IF(COUNT(J102:M102)&lt;F102,"Séries incomplètes",IF(MIN(J102:INDEX(J102:M102,1,F102))&gt;=H102,"Augmenter poids","Conserver")))</x:f>
        <x:v>Séries incomplètes</x:v>
      </x:c>
      <x:c r="Q102" s="6" t="str"/>
    </x:row>
    <x:row r="103" ht="15" hidden="0" customHeight="1">
      <x:c r="A103" s="6" t="str">
        <x:v>2026-05-29</x:v>
      </x:c>
      <x:c r="B103" s="6" t="str">
        <x:v>Semaine 5</x:v>
      </x:c>
      <x:c r="C103" s="6" t="str">
        <x:v>Vendredi</x:v>
      </x:c>
      <x:c r="D103" s="6" t="str">
        <x:v>Haut du corps</x:v>
      </x:c>
      <x:c r="E103" s="6" t="str">
        <x:v>Développé militaire haltères</x:v>
      </x:c>
      <x:c r="F103" s="6" t="n">
        <x:v>3</x:v>
      </x:c>
      <x:c r="G103" s="6" t="str">
        <x:v>8–12</x:v>
      </x:c>
      <x:c r="H103" s="6" t="n">
        <x:v>12</x:v>
      </x:c>
      <x:c r="I103" s="6" t="str"/>
      <x:c r="J103" s="6" t="str"/>
      <x:c r="K103" s="6" t="str"/>
      <x:c r="L103" s="6" t="str"/>
      <x:c r="M103" s="6" t="str"/>
      <x:c r="N103" s="6" t="n">
        <x:f>SUM(J103:M103)</x:f>
        <x:v>0</x:v>
      </x:c>
      <x:c r="O103" s="6" t="str">
        <x:f>IF(I103="","",I103*N103)</x:f>
      </x:c>
      <x:c r="P103" s="6" t="str">
        <x:f>IF(COUNTA(I103:M103)=0,"À remplir",IF(COUNT(J103:M103)&lt;F103,"Séries incomplètes",IF(MIN(J103:INDEX(J103:M103,1,F103))&gt;=H103,"Augmenter poids","Conserver")))</x:f>
        <x:v>Séries incomplètes</x:v>
      </x:c>
      <x:c r="Q103" s="6" t="str"/>
    </x:row>
    <x:row r="104" ht="15" hidden="0" customHeight="1">
      <x:c r="A104" s="6" t="str">
        <x:v>2026-05-29</x:v>
      </x:c>
      <x:c r="B104" s="6" t="str">
        <x:v>Semaine 5</x:v>
      </x:c>
      <x:c r="C104" s="6" t="str">
        <x:v>Vendredi</x:v>
      </x:c>
      <x:c r="D104" s="6" t="str">
        <x:v>Haut du corps</x:v>
      </x:c>
      <x:c r="E104" s="6" t="str">
        <x:v>Élévations latérales inclinées</x:v>
      </x:c>
      <x:c r="F104" s="6" t="n">
        <x:v>3</x:v>
      </x:c>
      <x:c r="G104" s="6" t="str">
        <x:v>12–15</x:v>
      </x:c>
      <x:c r="H104" s="6" t="n">
        <x:v>15</x:v>
      </x:c>
      <x:c r="I104" s="6" t="str"/>
      <x:c r="J104" s="6" t="str"/>
      <x:c r="K104" s="6" t="str"/>
      <x:c r="L104" s="6" t="str"/>
      <x:c r="M104" s="6" t="str"/>
      <x:c r="N104" s="6" t="n">
        <x:f>SUM(J104:M104)</x:f>
        <x:v>0</x:v>
      </x:c>
      <x:c r="O104" s="6" t="str">
        <x:f>IF(I104="","",I104*N104)</x:f>
      </x:c>
      <x:c r="P104" s="6" t="str">
        <x:f>IF(COUNTA(I104:M104)=0,"À remplir",IF(COUNT(J104:M104)&lt;F104,"Séries incomplètes",IF(MIN(J104:INDEX(J104:M104,1,F104))&gt;=H104,"Augmenter poids","Conserver")))</x:f>
        <x:v>Séries incomplètes</x:v>
      </x:c>
      <x:c r="Q104" s="6" t="str"/>
    </x:row>
    <x:row r="105" ht="15" hidden="0" customHeight="1">
      <x:c r="A105" s="6" t="str">
        <x:v>2026-05-29</x:v>
      </x:c>
      <x:c r="B105" s="6" t="str">
        <x:v>Semaine 5</x:v>
      </x:c>
      <x:c r="C105" s="6" t="str">
        <x:v>Vendredi</x:v>
      </x:c>
      <x:c r="D105" s="6" t="str">
        <x:v>Haut du corps</x:v>
      </x:c>
      <x:c r="E105" s="6" t="str">
        <x:v>Curl incliné haltères</x:v>
      </x:c>
      <x:c r="F105" s="6" t="n">
        <x:v>2</x:v>
      </x:c>
      <x:c r="G105" s="6" t="str">
        <x:v>10–12</x:v>
      </x:c>
      <x:c r="H105" s="6" t="n">
        <x:v>12</x:v>
      </x:c>
      <x:c r="I105" s="6" t="str"/>
      <x:c r="J105" s="6" t="str"/>
      <x:c r="K105" s="6" t="str"/>
      <x:c r="L105" s="6" t="str"/>
      <x:c r="M105" s="6" t="str"/>
      <x:c r="N105" s="6" t="n">
        <x:f>SUM(J105:M105)</x:f>
        <x:v>0</x:v>
      </x:c>
      <x:c r="O105" s="6" t="str">
        <x:f>IF(I105="","",I105*N105)</x:f>
      </x:c>
      <x:c r="P105" s="6" t="str">
        <x:f>IF(COUNTA(I105:M105)=0,"À remplir",IF(COUNT(J105:M105)&lt;F105,"Séries incomplètes",IF(MIN(J105:INDEX(J105:M105,1,F105))&gt;=H105,"Augmenter poids","Conserver")))</x:f>
        <x:v>Séries incomplètes</x:v>
      </x:c>
      <x:c r="Q105" s="6" t="str"/>
    </x:row>
    <x:row r="106" ht="15" hidden="0" customHeight="1">
      <x:c r="A106" s="6" t="str">
        <x:v>2026-05-29</x:v>
      </x:c>
      <x:c r="B106" s="6" t="str">
        <x:v>Semaine 5</x:v>
      </x:c>
      <x:c r="C106" s="6" t="str">
        <x:v>Vendredi</x:v>
      </x:c>
      <x:c r="D106" s="6" t="str">
        <x:v>Haut du corps</x:v>
      </x:c>
      <x:c r="E106" s="6" t="str">
        <x:v>Extension triceps au front haltère</x:v>
      </x:c>
      <x:c r="F106" s="6" t="n">
        <x:v>2</x:v>
      </x:c>
      <x:c r="G106" s="6" t="str">
        <x:v>10–15</x:v>
      </x:c>
      <x:c r="H106" s="6" t="n">
        <x:v>15</x:v>
      </x:c>
      <x:c r="I106" s="6" t="str"/>
      <x:c r="J106" s="6" t="str"/>
      <x:c r="K106" s="6" t="str"/>
      <x:c r="L106" s="6" t="str"/>
      <x:c r="M106" s="6" t="str"/>
      <x:c r="N106" s="6" t="n">
        <x:f>SUM(J106:M106)</x:f>
        <x:v>0</x:v>
      </x:c>
      <x:c r="O106" s="6" t="str">
        <x:f>IF(I106="","",I106*N106)</x:f>
      </x:c>
      <x:c r="P106" s="6" t="str">
        <x:f>IF(COUNTA(I106:M106)=0,"À remplir",IF(COUNT(J106:M106)&lt;F106,"Séries incomplètes",IF(MIN(J106:INDEX(J106:M106,1,F106))&gt;=H106,"Augmenter poids","Conserver")))</x:f>
        <x:v>Séries incomplètes</x:v>
      </x:c>
      <x:c r="Q106" s="6" t="str"/>
    </x:row>
    <x:row r="107" ht="15" hidden="0" customHeight="1">
      <x:c r="A107" s="6" t="str">
        <x:v>2026-05-30</x:v>
      </x:c>
      <x:c r="B107" s="6" t="str">
        <x:v>Semaine 5</x:v>
      </x:c>
      <x:c r="C107" s="6" t="str">
        <x:v>Samedi</x:v>
      </x:c>
      <x:c r="D107" s="6" t="str">
        <x:v>Bras + épaules</x:v>
      </x:c>
      <x:c r="E107" s="6" t="str">
        <x:v>Élévations latérales inclinées</x:v>
      </x:c>
      <x:c r="F107" s="6" t="n">
        <x:v>4</x:v>
      </x:c>
      <x:c r="G107" s="6" t="str">
        <x:v>12–20</x:v>
      </x:c>
      <x:c r="H107" s="6" t="n">
        <x:v>20</x:v>
      </x:c>
      <x:c r="I107" s="6" t="str"/>
      <x:c r="J107" s="6" t="str"/>
      <x:c r="K107" s="6" t="str"/>
      <x:c r="L107" s="6" t="str"/>
      <x:c r="M107" s="6" t="str"/>
      <x:c r="N107" s="6" t="n">
        <x:f>SUM(J107:M107)</x:f>
        <x:v>0</x:v>
      </x:c>
      <x:c r="O107" s="6" t="str">
        <x:f>IF(I107="","",I107*N107)</x:f>
      </x:c>
      <x:c r="P107" s="6" t="str">
        <x:f>IF(COUNTA(I107:M107)=0,"À remplir",IF(COUNT(J107:M107)&lt;F107,"Séries incomplètes",IF(MIN(J107:INDEX(J107:M107,1,F107))&gt;=H107,"Augmenter poids","Conserver")))</x:f>
        <x:v>Séries incomplètes</x:v>
      </x:c>
      <x:c r="Q107" s="6" t="str"/>
    </x:row>
    <x:row r="108" ht="15" hidden="0" customHeight="1">
      <x:c r="A108" s="6" t="str">
        <x:v>2026-05-30</x:v>
      </x:c>
      <x:c r="B108" s="6" t="str">
        <x:v>Semaine 5</x:v>
      </x:c>
      <x:c r="C108" s="6" t="str">
        <x:v>Samedi</x:v>
      </x:c>
      <x:c r="D108" s="6" t="str">
        <x:v>Bras + épaules</x:v>
      </x:c>
      <x:c r="E108" s="6" t="str">
        <x:v>Pec deck inversé / oiseau haltères</x:v>
      </x:c>
      <x:c r="F108" s="6" t="n">
        <x:v>3</x:v>
      </x:c>
      <x:c r="G108" s="6" t="str">
        <x:v>12–15</x:v>
      </x:c>
      <x:c r="H108" s="6" t="n">
        <x:v>15</x:v>
      </x:c>
      <x:c r="I108" s="6" t="str"/>
      <x:c r="J108" s="6" t="str"/>
      <x:c r="K108" s="6" t="str"/>
      <x:c r="L108" s="6" t="str"/>
      <x:c r="M108" s="6" t="str"/>
      <x:c r="N108" s="6" t="n">
        <x:f>SUM(J108:M108)</x:f>
        <x:v>0</x:v>
      </x:c>
      <x:c r="O108" s="6" t="str">
        <x:f>IF(I108="","",I108*N108)</x:f>
      </x:c>
      <x:c r="P108" s="6" t="str">
        <x:f>IF(COUNTA(I108:M108)=0,"À remplir",IF(COUNT(J108:M108)&lt;F108,"Séries incomplètes",IF(MIN(J108:INDEX(J108:M108,1,F108))&gt;=H108,"Augmenter poids","Conserver")))</x:f>
        <x:v>Séries incomplètes</x:v>
      </x:c>
      <x:c r="Q108" s="6" t="str"/>
    </x:row>
    <x:row r="109" ht="15" hidden="0" customHeight="1">
      <x:c r="A109" s="6" t="str">
        <x:v>2026-05-30</x:v>
      </x:c>
      <x:c r="B109" s="6" t="str">
        <x:v>Semaine 5</x:v>
      </x:c>
      <x:c r="C109" s="6" t="str">
        <x:v>Samedi</x:v>
      </x:c>
      <x:c r="D109" s="6" t="str">
        <x:v>Bras + épaules</x:v>
      </x:c>
      <x:c r="E109" s="6" t="str">
        <x:v>Spider curl haltères</x:v>
      </x:c>
      <x:c r="F109" s="6" t="n">
        <x:v>3</x:v>
      </x:c>
      <x:c r="G109" s="6" t="str">
        <x:v>10–12</x:v>
      </x:c>
      <x:c r="H109" s="6" t="n">
        <x:v>12</x:v>
      </x:c>
      <x:c r="I109" s="6" t="str"/>
      <x:c r="J109" s="6" t="str"/>
      <x:c r="K109" s="6" t="str"/>
      <x:c r="L109" s="6" t="str"/>
      <x:c r="M109" s="6" t="str"/>
      <x:c r="N109" s="6" t="n">
        <x:f>SUM(J109:M109)</x:f>
        <x:v>0</x:v>
      </x:c>
      <x:c r="O109" s="6" t="str">
        <x:f>IF(I109="","",I109*N109)</x:f>
      </x:c>
      <x:c r="P109" s="6" t="str">
        <x:f>IF(COUNTA(I109:M109)=0,"À remplir",IF(COUNT(J109:M109)&lt;F109,"Séries incomplètes",IF(MIN(J109:INDEX(J109:M109,1,F109))&gt;=H109,"Augmenter poids","Conserver")))</x:f>
        <x:v>Séries incomplètes</x:v>
      </x:c>
      <x:c r="Q109" s="6" t="str"/>
    </x:row>
    <x:row r="110" ht="15" hidden="0" customHeight="1">
      <x:c r="A110" s="6" t="str">
        <x:v>2026-05-30</x:v>
      </x:c>
      <x:c r="B110" s="6" t="str">
        <x:v>Semaine 5</x:v>
      </x:c>
      <x:c r="C110" s="6" t="str">
        <x:v>Samedi</x:v>
      </x:c>
      <x:c r="D110" s="6" t="str">
        <x:v>Bras + épaules</x:v>
      </x:c>
      <x:c r="E110" s="6" t="str">
        <x:v>Curl incliné haltères</x:v>
      </x:c>
      <x:c r="F110" s="6" t="n">
        <x:v>3</x:v>
      </x:c>
      <x:c r="G110" s="6" t="str">
        <x:v>10–12</x:v>
      </x:c>
      <x:c r="H110" s="6" t="n">
        <x:v>12</x:v>
      </x:c>
      <x:c r="I110" s="6" t="str"/>
      <x:c r="J110" s="6" t="str"/>
      <x:c r="K110" s="6" t="str"/>
      <x:c r="L110" s="6" t="str"/>
      <x:c r="M110" s="6" t="str"/>
      <x:c r="N110" s="6" t="n">
        <x:f>SUM(J110:M110)</x:f>
        <x:v>0</x:v>
      </x:c>
      <x:c r="O110" s="6" t="str">
        <x:f>IF(I110="","",I110*N110)</x:f>
      </x:c>
      <x:c r="P110" s="6" t="str">
        <x:f>IF(COUNTA(I110:M110)=0,"À remplir",IF(COUNT(J110:M110)&lt;F110,"Séries incomplètes",IF(MIN(J110:INDEX(J110:M110,1,F110))&gt;=H110,"Augmenter poids","Conserver")))</x:f>
        <x:v>Séries incomplètes</x:v>
      </x:c>
      <x:c r="Q110" s="6" t="str"/>
    </x:row>
    <x:row r="111" ht="15" hidden="0" customHeight="1">
      <x:c r="A111" s="6" t="str">
        <x:v>2026-05-30</x:v>
      </x:c>
      <x:c r="B111" s="6" t="str">
        <x:v>Semaine 5</x:v>
      </x:c>
      <x:c r="C111" s="6" t="str">
        <x:v>Samedi</x:v>
      </x:c>
      <x:c r="D111" s="6" t="str">
        <x:v>Bras + épaules</x:v>
      </x:c>
      <x:c r="E111" s="6" t="str">
        <x:v>Extension triceps au front haltère</x:v>
      </x:c>
      <x:c r="F111" s="6" t="n">
        <x:v>3</x:v>
      </x:c>
      <x:c r="G111" s="6" t="str">
        <x:v>10–15</x:v>
      </x:c>
      <x:c r="H111" s="6" t="n">
        <x:v>15</x:v>
      </x:c>
      <x:c r="I111" s="6" t="str"/>
      <x:c r="J111" s="6" t="str"/>
      <x:c r="K111" s="6" t="str"/>
      <x:c r="L111" s="6" t="str"/>
      <x:c r="M111" s="6" t="str"/>
      <x:c r="N111" s="6" t="n">
        <x:f>SUM(J111:M111)</x:f>
        <x:v>0</x:v>
      </x:c>
      <x:c r="O111" s="6" t="str">
        <x:f>IF(I111="","",I111*N111)</x:f>
      </x:c>
      <x:c r="P111" s="6" t="str">
        <x:f>IF(COUNTA(I111:M111)=0,"À remplir",IF(COUNT(J111:M111)&lt;F111,"Séries incomplètes",IF(MIN(J111:INDEX(J111:M111,1,F111))&gt;=H111,"Augmenter poids","Conserver")))</x:f>
        <x:v>Séries incomplètes</x:v>
      </x:c>
      <x:c r="Q111" s="6" t="str"/>
    </x:row>
    <x:row r="112" ht="15" hidden="0" customHeight="1">
      <x:c r="A112" s="6" t="str">
        <x:v>2026-06-01</x:v>
      </x:c>
      <x:c r="B112" s="6" t="str">
        <x:v>Semaine 6</x:v>
      </x:c>
      <x:c r="C112" s="6" t="str">
        <x:v>Lundi</x:v>
      </x:c>
      <x:c r="D112" s="6" t="str">
        <x:v>Push</x:v>
      </x:c>
      <x:c r="E112" s="6" t="str">
        <x:v>Développé décliné haltères</x:v>
      </x:c>
      <x:c r="F112" s="6" t="n">
        <x:v>4</x:v>
      </x:c>
      <x:c r="G112" s="6" t="str">
        <x:v>6–10</x:v>
      </x:c>
      <x:c r="H112" s="6" t="n">
        <x:v>10</x:v>
      </x:c>
      <x:c r="I112" s="6" t="str"/>
      <x:c r="J112" s="6" t="str"/>
      <x:c r="K112" s="6" t="str"/>
      <x:c r="L112" s="6" t="str"/>
      <x:c r="M112" s="6" t="str"/>
      <x:c r="N112" s="6" t="n">
        <x:f>SUM(J112:M112)</x:f>
        <x:v>0</x:v>
      </x:c>
      <x:c r="O112" s="6" t="str">
        <x:f>IF(I112="","",I112*N112)</x:f>
      </x:c>
      <x:c r="P112" s="6" t="str">
        <x:f>IF(COUNTA(I112:M112)=0,"À remplir",IF(COUNT(J112:M112)&lt;F112,"Séries incomplètes",IF(MIN(J112:INDEX(J112:M112,1,F112))&gt;=H112,"Augmenter poids","Conserver")))</x:f>
        <x:v>Séries incomplètes</x:v>
      </x:c>
      <x:c r="Q112" s="6" t="str"/>
    </x:row>
    <x:row r="113" ht="15" hidden="0" customHeight="1">
      <x:c r="A113" s="6" t="str">
        <x:v>2026-06-01</x:v>
      </x:c>
      <x:c r="B113" s="6" t="str">
        <x:v>Semaine 6</x:v>
      </x:c>
      <x:c r="C113" s="6" t="str">
        <x:v>Lundi</x:v>
      </x:c>
      <x:c r="D113" s="6" t="str">
        <x:v>Push</x:v>
      </x:c>
      <x:c r="E113" s="6" t="str">
        <x:v>Développé militaire haltères</x:v>
      </x:c>
      <x:c r="F113" s="6" t="n">
        <x:v>4</x:v>
      </x:c>
      <x:c r="G113" s="6" t="str">
        <x:v>6–10</x:v>
      </x:c>
      <x:c r="H113" s="6" t="n">
        <x:v>10</x:v>
      </x:c>
      <x:c r="I113" s="6" t="str"/>
      <x:c r="J113" s="6" t="str"/>
      <x:c r="K113" s="6" t="str"/>
      <x:c r="L113" s="6" t="str"/>
      <x:c r="M113" s="6" t="str"/>
      <x:c r="N113" s="6" t="n">
        <x:f>SUM(J113:M113)</x:f>
        <x:v>0</x:v>
      </x:c>
      <x:c r="O113" s="6" t="str">
        <x:f>IF(I113="","",I113*N113)</x:f>
      </x:c>
      <x:c r="P113" s="6" t="str">
        <x:f>IF(COUNTA(I113:M113)=0,"À remplir",IF(COUNT(J113:M113)&lt;F113,"Séries incomplètes",IF(MIN(J113:INDEX(J113:M113,1,F113))&gt;=H113,"Augmenter poids","Conserver")))</x:f>
        <x:v>Séries incomplètes</x:v>
      </x:c>
      <x:c r="Q113" s="6" t="str"/>
    </x:row>
    <x:row r="114" ht="15" hidden="0" customHeight="1">
      <x:c r="A114" s="6" t="str">
        <x:v>2026-06-01</x:v>
      </x:c>
      <x:c r="B114" s="6" t="str">
        <x:v>Semaine 6</x:v>
      </x:c>
      <x:c r="C114" s="6" t="str">
        <x:v>Lundi</x:v>
      </x:c>
      <x:c r="D114" s="6" t="str">
        <x:v>Push</x:v>
      </x:c>
      <x:c r="E114" s="6" t="str">
        <x:v>Élévations latérales inclinées</x:v>
      </x:c>
      <x:c r="F114" s="6" t="n">
        <x:v>3</x:v>
      </x:c>
      <x:c r="G114" s="6" t="str">
        <x:v>12–15</x:v>
      </x:c>
      <x:c r="H114" s="6" t="n">
        <x:v>15</x:v>
      </x:c>
      <x:c r="I114" s="6" t="str"/>
      <x:c r="J114" s="6" t="str"/>
      <x:c r="K114" s="6" t="str"/>
      <x:c r="L114" s="6" t="str"/>
      <x:c r="M114" s="6" t="str"/>
      <x:c r="N114" s="6" t="n">
        <x:f>SUM(J114:M114)</x:f>
        <x:v>0</x:v>
      </x:c>
      <x:c r="O114" s="6" t="str">
        <x:f>IF(I114="","",I114*N114)</x:f>
      </x:c>
      <x:c r="P114" s="6" t="str">
        <x:f>IF(COUNTA(I114:M114)=0,"À remplir",IF(COUNT(J114:M114)&lt;F114,"Séries incomplètes",IF(MIN(J114:INDEX(J114:M114,1,F114))&gt;=H114,"Augmenter poids","Conserver")))</x:f>
        <x:v>Séries incomplètes</x:v>
      </x:c>
      <x:c r="Q114" s="6" t="str"/>
    </x:row>
    <x:row r="115" ht="15" hidden="0" customHeight="1">
      <x:c r="A115" s="6" t="str">
        <x:v>2026-06-01</x:v>
      </x:c>
      <x:c r="B115" s="6" t="str">
        <x:v>Semaine 6</x:v>
      </x:c>
      <x:c r="C115" s="6" t="str">
        <x:v>Lundi</x:v>
      </x:c>
      <x:c r="D115" s="6" t="str">
        <x:v>Push</x:v>
      </x:c>
      <x:c r="E115" s="6" t="str">
        <x:v>Extension triceps au front haltère</x:v>
      </x:c>
      <x:c r="F115" s="6" t="n">
        <x:v>3</x:v>
      </x:c>
      <x:c r="G115" s="6" t="str">
        <x:v>10–15</x:v>
      </x:c>
      <x:c r="H115" s="6" t="n">
        <x:v>15</x:v>
      </x:c>
      <x:c r="I115" s="6" t="str"/>
      <x:c r="J115" s="6" t="str"/>
      <x:c r="K115" s="6" t="str"/>
      <x:c r="L115" s="6" t="str"/>
      <x:c r="M115" s="6" t="str"/>
      <x:c r="N115" s="6" t="n">
        <x:f>SUM(J115:M115)</x:f>
        <x:v>0</x:v>
      </x:c>
      <x:c r="O115" s="6" t="str">
        <x:f>IF(I115="","",I115*N115)</x:f>
      </x:c>
      <x:c r="P115" s="6" t="str">
        <x:f>IF(COUNTA(I115:M115)=0,"À remplir",IF(COUNT(J115:M115)&lt;F115,"Séries incomplètes",IF(MIN(J115:INDEX(J115:M115,1,F115))&gt;=H115,"Augmenter poids","Conserver")))</x:f>
        <x:v>Séries incomplètes</x:v>
      </x:c>
      <x:c r="Q115" s="6" t="str"/>
    </x:row>
    <x:row r="116" ht="15" hidden="0" customHeight="1">
      <x:c r="A116" s="6" t="str">
        <x:v>2026-06-02</x:v>
      </x:c>
      <x:c r="B116" s="6" t="str">
        <x:v>Semaine 6</x:v>
      </x:c>
      <x:c r="C116" s="6" t="str">
        <x:v>Mardi</x:v>
      </x:c>
      <x:c r="D116" s="6" t="str">
        <x:v>Pull</x:v>
      </x:c>
      <x:c r="E116" s="6" t="str">
        <x:v>Rowing haltère</x:v>
      </x:c>
      <x:c r="F116" s="6" t="n">
        <x:v>4</x:v>
      </x:c>
      <x:c r="G116" s="6" t="str">
        <x:v>8–12</x:v>
      </x:c>
      <x:c r="H116" s="6" t="n">
        <x:v>12</x:v>
      </x:c>
      <x:c r="I116" s="6" t="str"/>
      <x:c r="J116" s="6" t="str"/>
      <x:c r="K116" s="6" t="str"/>
      <x:c r="L116" s="6" t="str"/>
      <x:c r="M116" s="6" t="str"/>
      <x:c r="N116" s="6" t="n">
        <x:f>SUM(J116:M116)</x:f>
        <x:v>0</x:v>
      </x:c>
      <x:c r="O116" s="6" t="str">
        <x:f>IF(I116="","",I116*N116)</x:f>
      </x:c>
      <x:c r="P116" s="6" t="str">
        <x:f>IF(COUNTA(I116:M116)=0,"À remplir",IF(COUNT(J116:M116)&lt;F116,"Séries incomplètes",IF(MIN(J116:INDEX(J116:M116,1,F116))&gt;=H116,"Augmenter poids","Conserver")))</x:f>
        <x:v>Séries incomplètes</x:v>
      </x:c>
      <x:c r="Q116" s="6" t="str"/>
    </x:row>
    <x:row r="117" ht="15" hidden="0" customHeight="1">
      <x:c r="A117" s="6" t="str">
        <x:v>2026-06-02</x:v>
      </x:c>
      <x:c r="B117" s="6" t="str">
        <x:v>Semaine 6</x:v>
      </x:c>
      <x:c r="C117" s="6" t="str">
        <x:v>Mardi</x:v>
      </x:c>
      <x:c r="D117" s="6" t="str">
        <x:v>Pull</x:v>
      </x:c>
      <x:c r="E117" s="6" t="str">
        <x:v>Pec deck inversé / oiseau haltères</x:v>
      </x:c>
      <x:c r="F117" s="6" t="n">
        <x:v>3</x:v>
      </x:c>
      <x:c r="G117" s="6" t="str">
        <x:v>12–15</x:v>
      </x:c>
      <x:c r="H117" s="6" t="n">
        <x:v>15</x:v>
      </x:c>
      <x:c r="I117" s="6" t="str"/>
      <x:c r="J117" s="6" t="str"/>
      <x:c r="K117" s="6" t="str"/>
      <x:c r="L117" s="6" t="str"/>
      <x:c r="M117" s="6" t="str"/>
      <x:c r="N117" s="6" t="n">
        <x:f>SUM(J117:M117)</x:f>
        <x:v>0</x:v>
      </x:c>
      <x:c r="O117" s="6" t="str">
        <x:f>IF(I117="","",I117*N117)</x:f>
      </x:c>
      <x:c r="P117" s="6" t="str">
        <x:f>IF(COUNTA(I117:M117)=0,"À remplir",IF(COUNT(J117:M117)&lt;F117,"Séries incomplètes",IF(MIN(J117:INDEX(J117:M117,1,F117))&gt;=H117,"Augmenter poids","Conserver")))</x:f>
        <x:v>Séries incomplètes</x:v>
      </x:c>
      <x:c r="Q117" s="6" t="str"/>
    </x:row>
    <x:row r="118" ht="15" hidden="0" customHeight="1">
      <x:c r="A118" s="6" t="str">
        <x:v>2026-06-02</x:v>
      </x:c>
      <x:c r="B118" s="6" t="str">
        <x:v>Semaine 6</x:v>
      </x:c>
      <x:c r="C118" s="6" t="str">
        <x:v>Mardi</x:v>
      </x:c>
      <x:c r="D118" s="6" t="str">
        <x:v>Pull</x:v>
      </x:c>
      <x:c r="E118" s="6" t="str">
        <x:v>Curl incliné haltères</x:v>
      </x:c>
      <x:c r="F118" s="6" t="n">
        <x:v>3</x:v>
      </x:c>
      <x:c r="G118" s="6" t="str">
        <x:v>10–12</x:v>
      </x:c>
      <x:c r="H118" s="6" t="n">
        <x:v>12</x:v>
      </x:c>
      <x:c r="I118" s="6" t="str"/>
      <x:c r="J118" s="6" t="str"/>
      <x:c r="K118" s="6" t="str"/>
      <x:c r="L118" s="6" t="str"/>
      <x:c r="M118" s="6" t="str"/>
      <x:c r="N118" s="6" t="n">
        <x:f>SUM(J118:M118)</x:f>
        <x:v>0</x:v>
      </x:c>
      <x:c r="O118" s="6" t="str">
        <x:f>IF(I118="","",I118*N118)</x:f>
      </x:c>
      <x:c r="P118" s="6" t="str">
        <x:f>IF(COUNTA(I118:M118)=0,"À remplir",IF(COUNT(J118:M118)&lt;F118,"Séries incomplètes",IF(MIN(J118:INDEX(J118:M118,1,F118))&gt;=H118,"Augmenter poids","Conserver")))</x:f>
        <x:v>Séries incomplètes</x:v>
      </x:c>
      <x:c r="Q118" s="6" t="str"/>
    </x:row>
    <x:row r="119" ht="15" hidden="0" customHeight="1">
      <x:c r="A119" s="6" t="str">
        <x:v>2026-06-02</x:v>
      </x:c>
      <x:c r="B119" s="6" t="str">
        <x:v>Semaine 6</x:v>
      </x:c>
      <x:c r="C119" s="6" t="str">
        <x:v>Mardi</x:v>
      </x:c>
      <x:c r="D119" s="6" t="str">
        <x:v>Pull</x:v>
      </x:c>
      <x:c r="E119" s="6" t="str">
        <x:v>Spider curl haltères</x:v>
      </x:c>
      <x:c r="F119" s="6" t="n">
        <x:v>3</x:v>
      </x:c>
      <x:c r="G119" s="6" t="str">
        <x:v>10–12</x:v>
      </x:c>
      <x:c r="H119" s="6" t="n">
        <x:v>12</x:v>
      </x:c>
      <x:c r="I119" s="6" t="str"/>
      <x:c r="J119" s="6" t="str"/>
      <x:c r="K119" s="6" t="str"/>
      <x:c r="L119" s="6" t="str"/>
      <x:c r="M119" s="6" t="str"/>
      <x:c r="N119" s="6" t="n">
        <x:f>SUM(J119:M119)</x:f>
        <x:v>0</x:v>
      </x:c>
      <x:c r="O119" s="6" t="str">
        <x:f>IF(I119="","",I119*N119)</x:f>
      </x:c>
      <x:c r="P119" s="6" t="str">
        <x:f>IF(COUNTA(I119:M119)=0,"À remplir",IF(COUNT(J119:M119)&lt;F119,"Séries incomplètes",IF(MIN(J119:INDEX(J119:M119,1,F119))&gt;=H119,"Augmenter poids","Conserver")))</x:f>
        <x:v>Séries incomplètes</x:v>
      </x:c>
      <x:c r="Q119" s="6" t="str"/>
    </x:row>
    <x:row r="120" ht="15" hidden="0" customHeight="1">
      <x:c r="A120" s="6" t="str">
        <x:v>2026-06-03</x:v>
      </x:c>
      <x:c r="B120" s="6" t="str">
        <x:v>Semaine 6</x:v>
      </x:c>
      <x:c r="C120" s="6" t="str">
        <x:v>Mercredi</x:v>
      </x:c>
      <x:c r="D120" s="6" t="str">
        <x:v>Jambes</x:v>
      </x:c>
      <x:c r="E120" s="6" t="str">
        <x:v>Goblet squat</x:v>
      </x:c>
      <x:c r="F120" s="6" t="n">
        <x:v>4</x:v>
      </x:c>
      <x:c r="G120" s="6" t="str">
        <x:v>10–20</x:v>
      </x:c>
      <x:c r="H120" s="6" t="n">
        <x:v>20</x:v>
      </x:c>
      <x:c r="I120" s="6" t="str"/>
      <x:c r="J120" s="6" t="str"/>
      <x:c r="K120" s="6" t="str"/>
      <x:c r="L120" s="6" t="str"/>
      <x:c r="M120" s="6" t="str"/>
      <x:c r="N120" s="6" t="n">
        <x:f>SUM(J120:M120)</x:f>
        <x:v>0</x:v>
      </x:c>
      <x:c r="O120" s="6" t="str">
        <x:f>IF(I120="","",I120*N120)</x:f>
      </x:c>
      <x:c r="P120" s="6" t="str">
        <x:f>IF(COUNTA(I120:M120)=0,"À remplir",IF(COUNT(J120:M120)&lt;F120,"Séries incomplètes",IF(MIN(J120:INDEX(J120:M120,1,F120))&gt;=H120,"Augmenter poids","Conserver")))</x:f>
        <x:v>Séries incomplètes</x:v>
      </x:c>
      <x:c r="Q120" s="6" t="str"/>
    </x:row>
    <x:row r="121" ht="15" hidden="0" customHeight="1">
      <x:c r="A121" s="6" t="str">
        <x:v>2026-06-03</x:v>
      </x:c>
      <x:c r="B121" s="6" t="str">
        <x:v>Semaine 6</x:v>
      </x:c>
      <x:c r="C121" s="6" t="str">
        <x:v>Mercredi</x:v>
      </x:c>
      <x:c r="D121" s="6" t="str">
        <x:v>Jambes</x:v>
      </x:c>
      <x:c r="E121" s="6" t="str">
        <x:v>Fentes haltères</x:v>
      </x:c>
      <x:c r="F121" s="6" t="n">
        <x:v>3</x:v>
      </x:c>
      <x:c r="G121" s="6" t="str">
        <x:v>10–15 / jambe</x:v>
      </x:c>
      <x:c r="H121" s="6" t="n">
        <x:v>15</x:v>
      </x:c>
      <x:c r="I121" s="6" t="str"/>
      <x:c r="J121" s="6" t="str"/>
      <x:c r="K121" s="6" t="str"/>
      <x:c r="L121" s="6" t="str"/>
      <x:c r="M121" s="6" t="str"/>
      <x:c r="N121" s="6" t="n">
        <x:f>SUM(J121:M121)</x:f>
        <x:v>0</x:v>
      </x:c>
      <x:c r="O121" s="6" t="str">
        <x:f>IF(I121="","",I121*N121)</x:f>
      </x:c>
      <x:c r="P121" s="6" t="str">
        <x:f>IF(COUNTA(I121:M121)=0,"À remplir",IF(COUNT(J121:M121)&lt;F121,"Séries incomplètes",IF(MIN(J121:INDEX(J121:M121,1,F121))&gt;=H121,"Augmenter poids","Conserver")))</x:f>
        <x:v>Séries incomplètes</x:v>
      </x:c>
      <x:c r="Q121" s="6" t="str"/>
    </x:row>
    <x:row r="122" ht="15" hidden="0" customHeight="1">
      <x:c r="A122" s="6" t="str">
        <x:v>2026-06-03</x:v>
      </x:c>
      <x:c r="B122" s="6" t="str">
        <x:v>Semaine 6</x:v>
      </x:c>
      <x:c r="C122" s="6" t="str">
        <x:v>Mercredi</x:v>
      </x:c>
      <x:c r="D122" s="6" t="str">
        <x:v>Jambes</x:v>
      </x:c>
      <x:c r="E122" s="6" t="str">
        <x:v>Soulevé de terre jambes tendues haltères</x:v>
      </x:c>
      <x:c r="F122" s="6" t="n">
        <x:v>3</x:v>
      </x:c>
      <x:c r="G122" s="6" t="str">
        <x:v>10–15</x:v>
      </x:c>
      <x:c r="H122" s="6" t="n">
        <x:v>15</x:v>
      </x:c>
      <x:c r="I122" s="6" t="str"/>
      <x:c r="J122" s="6" t="str"/>
      <x:c r="K122" s="6" t="str"/>
      <x:c r="L122" s="6" t="str"/>
      <x:c r="M122" s="6" t="str"/>
      <x:c r="N122" s="6" t="n">
        <x:f>SUM(J122:M122)</x:f>
        <x:v>0</x:v>
      </x:c>
      <x:c r="O122" s="6" t="str">
        <x:f>IF(I122="","",I122*N122)</x:f>
      </x:c>
      <x:c r="P122" s="6" t="str">
        <x:f>IF(COUNTA(I122:M122)=0,"À remplir",IF(COUNT(J122:M122)&lt;F122,"Séries incomplètes",IF(MIN(J122:INDEX(J122:M122,1,F122))&gt;=H122,"Augmenter poids","Conserver")))</x:f>
        <x:v>Séries incomplètes</x:v>
      </x:c>
      <x:c r="Q122" s="6" t="str"/>
    </x:row>
    <x:row r="123" ht="15" hidden="0" customHeight="1">
      <x:c r="A123" s="6" t="str">
        <x:v>2026-06-05</x:v>
      </x:c>
      <x:c r="B123" s="6" t="str">
        <x:v>Semaine 6</x:v>
      </x:c>
      <x:c r="C123" s="6" t="str">
        <x:v>Vendredi</x:v>
      </x:c>
      <x:c r="D123" s="6" t="str">
        <x:v>Haut du corps</x:v>
      </x:c>
      <x:c r="E123" s="6" t="str">
        <x:v>Rowing haltère</x:v>
      </x:c>
      <x:c r="F123" s="6" t="n">
        <x:v>3</x:v>
      </x:c>
      <x:c r="G123" s="6" t="str">
        <x:v>8–12</x:v>
      </x:c>
      <x:c r="H123" s="6" t="n">
        <x:v>12</x:v>
      </x:c>
      <x:c r="I123" s="6" t="str"/>
      <x:c r="J123" s="6" t="str"/>
      <x:c r="K123" s="6" t="str"/>
      <x:c r="L123" s="6" t="str"/>
      <x:c r="M123" s="6" t="str"/>
      <x:c r="N123" s="6" t="n">
        <x:f>SUM(J123:M123)</x:f>
        <x:v>0</x:v>
      </x:c>
      <x:c r="O123" s="6" t="str">
        <x:f>IF(I123="","",I123*N123)</x:f>
      </x:c>
      <x:c r="P123" s="6" t="str">
        <x:f>IF(COUNTA(I123:M123)=0,"À remplir",IF(COUNT(J123:M123)&lt;F123,"Séries incomplètes",IF(MIN(J123:INDEX(J123:M123,1,F123))&gt;=H123,"Augmenter poids","Conserver")))</x:f>
        <x:v>Séries incomplètes</x:v>
      </x:c>
      <x:c r="Q123" s="6" t="str"/>
    </x:row>
    <x:row r="124" ht="15" hidden="0" customHeight="1">
      <x:c r="A124" s="6" t="str">
        <x:v>2026-06-05</x:v>
      </x:c>
      <x:c r="B124" s="6" t="str">
        <x:v>Semaine 6</x:v>
      </x:c>
      <x:c r="C124" s="6" t="str">
        <x:v>Vendredi</x:v>
      </x:c>
      <x:c r="D124" s="6" t="str">
        <x:v>Haut du corps</x:v>
      </x:c>
      <x:c r="E124" s="6" t="str">
        <x:v>Développé décliné haltères</x:v>
      </x:c>
      <x:c r="F124" s="6" t="n">
        <x:v>3</x:v>
      </x:c>
      <x:c r="G124" s="6" t="str">
        <x:v>8–12</x:v>
      </x:c>
      <x:c r="H124" s="6" t="n">
        <x:v>12</x:v>
      </x:c>
      <x:c r="I124" s="6" t="str"/>
      <x:c r="J124" s="6" t="str"/>
      <x:c r="K124" s="6" t="str"/>
      <x:c r="L124" s="6" t="str"/>
      <x:c r="M124" s="6" t="str"/>
      <x:c r="N124" s="6" t="n">
        <x:f>SUM(J124:M124)</x:f>
        <x:v>0</x:v>
      </x:c>
      <x:c r="O124" s="6" t="str">
        <x:f>IF(I124="","",I124*N124)</x:f>
      </x:c>
      <x:c r="P124" s="6" t="str">
        <x:f>IF(COUNTA(I124:M124)=0,"À remplir",IF(COUNT(J124:M124)&lt;F124,"Séries incomplètes",IF(MIN(J124:INDEX(J124:M124,1,F124))&gt;=H124,"Augmenter poids","Conserver")))</x:f>
        <x:v>Séries incomplètes</x:v>
      </x:c>
      <x:c r="Q124" s="6" t="str"/>
    </x:row>
    <x:row r="125" ht="15" hidden="0" customHeight="1">
      <x:c r="A125" s="6" t="str">
        <x:v>2026-06-05</x:v>
      </x:c>
      <x:c r="B125" s="6" t="str">
        <x:v>Semaine 6</x:v>
      </x:c>
      <x:c r="C125" s="6" t="str">
        <x:v>Vendredi</x:v>
      </x:c>
      <x:c r="D125" s="6" t="str">
        <x:v>Haut du corps</x:v>
      </x:c>
      <x:c r="E125" s="6" t="str">
        <x:v>Développé militaire haltères</x:v>
      </x:c>
      <x:c r="F125" s="6" t="n">
        <x:v>3</x:v>
      </x:c>
      <x:c r="G125" s="6" t="str">
        <x:v>8–12</x:v>
      </x:c>
      <x:c r="H125" s="6" t="n">
        <x:v>12</x:v>
      </x:c>
      <x:c r="I125" s="6" t="str"/>
      <x:c r="J125" s="6" t="str"/>
      <x:c r="K125" s="6" t="str"/>
      <x:c r="L125" s="6" t="str"/>
      <x:c r="M125" s="6" t="str"/>
      <x:c r="N125" s="6" t="n">
        <x:f>SUM(J125:M125)</x:f>
        <x:v>0</x:v>
      </x:c>
      <x:c r="O125" s="6" t="str">
        <x:f>IF(I125="","",I125*N125)</x:f>
      </x:c>
      <x:c r="P125" s="6" t="str">
        <x:f>IF(COUNTA(I125:M125)=0,"À remplir",IF(COUNT(J125:M125)&lt;F125,"Séries incomplètes",IF(MIN(J125:INDEX(J125:M125,1,F125))&gt;=H125,"Augmenter poids","Conserver")))</x:f>
        <x:v>Séries incomplètes</x:v>
      </x:c>
      <x:c r="Q125" s="6" t="str"/>
    </x:row>
    <x:row r="126" ht="15" hidden="0" customHeight="1">
      <x:c r="A126" s="6" t="str">
        <x:v>2026-06-05</x:v>
      </x:c>
      <x:c r="B126" s="6" t="str">
        <x:v>Semaine 6</x:v>
      </x:c>
      <x:c r="C126" s="6" t="str">
        <x:v>Vendredi</x:v>
      </x:c>
      <x:c r="D126" s="6" t="str">
        <x:v>Haut du corps</x:v>
      </x:c>
      <x:c r="E126" s="6" t="str">
        <x:v>Élévations latérales inclinées</x:v>
      </x:c>
      <x:c r="F126" s="6" t="n">
        <x:v>3</x:v>
      </x:c>
      <x:c r="G126" s="6" t="str">
        <x:v>12–15</x:v>
      </x:c>
      <x:c r="H126" s="6" t="n">
        <x:v>15</x:v>
      </x:c>
      <x:c r="I126" s="6" t="str"/>
      <x:c r="J126" s="6" t="str"/>
      <x:c r="K126" s="6" t="str"/>
      <x:c r="L126" s="6" t="str"/>
      <x:c r="M126" s="6" t="str"/>
      <x:c r="N126" s="6" t="n">
        <x:f>SUM(J126:M126)</x:f>
        <x:v>0</x:v>
      </x:c>
      <x:c r="O126" s="6" t="str">
        <x:f>IF(I126="","",I126*N126)</x:f>
      </x:c>
      <x:c r="P126" s="6" t="str">
        <x:f>IF(COUNTA(I126:M126)=0,"À remplir",IF(COUNT(J126:M126)&lt;F126,"Séries incomplètes",IF(MIN(J126:INDEX(J126:M126,1,F126))&gt;=H126,"Augmenter poids","Conserver")))</x:f>
        <x:v>Séries incomplètes</x:v>
      </x:c>
      <x:c r="Q126" s="6" t="str"/>
    </x:row>
    <x:row r="127" ht="15" hidden="0" customHeight="1">
      <x:c r="A127" s="6" t="str">
        <x:v>2026-06-05</x:v>
      </x:c>
      <x:c r="B127" s="6" t="str">
        <x:v>Semaine 6</x:v>
      </x:c>
      <x:c r="C127" s="6" t="str">
        <x:v>Vendredi</x:v>
      </x:c>
      <x:c r="D127" s="6" t="str">
        <x:v>Haut du corps</x:v>
      </x:c>
      <x:c r="E127" s="6" t="str">
        <x:v>Curl incliné haltères</x:v>
      </x:c>
      <x:c r="F127" s="6" t="n">
        <x:v>2</x:v>
      </x:c>
      <x:c r="G127" s="6" t="str">
        <x:v>10–12</x:v>
      </x:c>
      <x:c r="H127" s="6" t="n">
        <x:v>12</x:v>
      </x:c>
      <x:c r="I127" s="6" t="str"/>
      <x:c r="J127" s="6" t="str"/>
      <x:c r="K127" s="6" t="str"/>
      <x:c r="L127" s="6" t="str"/>
      <x:c r="M127" s="6" t="str"/>
      <x:c r="N127" s="6" t="n">
        <x:f>SUM(J127:M127)</x:f>
        <x:v>0</x:v>
      </x:c>
      <x:c r="O127" s="6" t="str">
        <x:f>IF(I127="","",I127*N127)</x:f>
      </x:c>
      <x:c r="P127" s="6" t="str">
        <x:f>IF(COUNTA(I127:M127)=0,"À remplir",IF(COUNT(J127:M127)&lt;F127,"Séries incomplètes",IF(MIN(J127:INDEX(J127:M127,1,F127))&gt;=H127,"Augmenter poids","Conserver")))</x:f>
        <x:v>Séries incomplètes</x:v>
      </x:c>
      <x:c r="Q127" s="6" t="str"/>
    </x:row>
    <x:row r="128" ht="15" hidden="0" customHeight="1">
      <x:c r="A128" s="6" t="str">
        <x:v>2026-06-05</x:v>
      </x:c>
      <x:c r="B128" s="6" t="str">
        <x:v>Semaine 6</x:v>
      </x:c>
      <x:c r="C128" s="6" t="str">
        <x:v>Vendredi</x:v>
      </x:c>
      <x:c r="D128" s="6" t="str">
        <x:v>Haut du corps</x:v>
      </x:c>
      <x:c r="E128" s="6" t="str">
        <x:v>Extension triceps au front haltère</x:v>
      </x:c>
      <x:c r="F128" s="6" t="n">
        <x:v>2</x:v>
      </x:c>
      <x:c r="G128" s="6" t="str">
        <x:v>10–15</x:v>
      </x:c>
      <x:c r="H128" s="6" t="n">
        <x:v>15</x:v>
      </x:c>
      <x:c r="I128" s="6" t="str"/>
      <x:c r="J128" s="6" t="str"/>
      <x:c r="K128" s="6" t="str"/>
      <x:c r="L128" s="6" t="str"/>
      <x:c r="M128" s="6" t="str"/>
      <x:c r="N128" s="6" t="n">
        <x:f>SUM(J128:M128)</x:f>
        <x:v>0</x:v>
      </x:c>
      <x:c r="O128" s="6" t="str">
        <x:f>IF(I128="","",I128*N128)</x:f>
      </x:c>
      <x:c r="P128" s="6" t="str">
        <x:f>IF(COUNTA(I128:M128)=0,"À remplir",IF(COUNT(J128:M128)&lt;F128,"Séries incomplètes",IF(MIN(J128:INDEX(J128:M128,1,F128))&gt;=H128,"Augmenter poids","Conserver")))</x:f>
        <x:v>Séries incomplètes</x:v>
      </x:c>
      <x:c r="Q128" s="6" t="str"/>
    </x:row>
    <x:row r="129" ht="15" hidden="0" customHeight="1">
      <x:c r="A129" s="6" t="str">
        <x:v>2026-06-06</x:v>
      </x:c>
      <x:c r="B129" s="6" t="str">
        <x:v>Semaine 6</x:v>
      </x:c>
      <x:c r="C129" s="6" t="str">
        <x:v>Samedi</x:v>
      </x:c>
      <x:c r="D129" s="6" t="str">
        <x:v>Bras + épaules</x:v>
      </x:c>
      <x:c r="E129" s="6" t="str">
        <x:v>Élévations latérales inclinées</x:v>
      </x:c>
      <x:c r="F129" s="6" t="n">
        <x:v>4</x:v>
      </x:c>
      <x:c r="G129" s="6" t="str">
        <x:v>12–20</x:v>
      </x:c>
      <x:c r="H129" s="6" t="n">
        <x:v>20</x:v>
      </x:c>
      <x:c r="I129" s="6" t="str"/>
      <x:c r="J129" s="6" t="str"/>
      <x:c r="K129" s="6" t="str"/>
      <x:c r="L129" s="6" t="str"/>
      <x:c r="M129" s="6" t="str"/>
      <x:c r="N129" s="6" t="n">
        <x:f>SUM(J129:M129)</x:f>
        <x:v>0</x:v>
      </x:c>
      <x:c r="O129" s="6" t="str">
        <x:f>IF(I129="","",I129*N129)</x:f>
      </x:c>
      <x:c r="P129" s="6" t="str">
        <x:f>IF(COUNTA(I129:M129)=0,"À remplir",IF(COUNT(J129:M129)&lt;F129,"Séries incomplètes",IF(MIN(J129:INDEX(J129:M129,1,F129))&gt;=H129,"Augmenter poids","Conserver")))</x:f>
        <x:v>Séries incomplètes</x:v>
      </x:c>
      <x:c r="Q129" s="6" t="str"/>
    </x:row>
    <x:row r="130" ht="15" hidden="0" customHeight="1">
      <x:c r="A130" s="6" t="str">
        <x:v>2026-06-06</x:v>
      </x:c>
      <x:c r="B130" s="6" t="str">
        <x:v>Semaine 6</x:v>
      </x:c>
      <x:c r="C130" s="6" t="str">
        <x:v>Samedi</x:v>
      </x:c>
      <x:c r="D130" s="6" t="str">
        <x:v>Bras + épaules</x:v>
      </x:c>
      <x:c r="E130" s="6" t="str">
        <x:v>Pec deck inversé / oiseau haltères</x:v>
      </x:c>
      <x:c r="F130" s="6" t="n">
        <x:v>3</x:v>
      </x:c>
      <x:c r="G130" s="6" t="str">
        <x:v>12–15</x:v>
      </x:c>
      <x:c r="H130" s="6" t="n">
        <x:v>15</x:v>
      </x:c>
      <x:c r="I130" s="6" t="str"/>
      <x:c r="J130" s="6" t="str"/>
      <x:c r="K130" s="6" t="str"/>
      <x:c r="L130" s="6" t="str"/>
      <x:c r="M130" s="6" t="str"/>
      <x:c r="N130" s="6" t="n">
        <x:f>SUM(J130:M130)</x:f>
        <x:v>0</x:v>
      </x:c>
      <x:c r="O130" s="6" t="str">
        <x:f>IF(I130="","",I130*N130)</x:f>
      </x:c>
      <x:c r="P130" s="6" t="str">
        <x:f>IF(COUNTA(I130:M130)=0,"À remplir",IF(COUNT(J130:M130)&lt;F130,"Séries incomplètes",IF(MIN(J130:INDEX(J130:M130,1,F130))&gt;=H130,"Augmenter poids","Conserver")))</x:f>
        <x:v>Séries incomplètes</x:v>
      </x:c>
      <x:c r="Q130" s="6" t="str"/>
    </x:row>
    <x:row r="131" ht="15" hidden="0" customHeight="1">
      <x:c r="A131" s="6" t="str">
        <x:v>2026-06-06</x:v>
      </x:c>
      <x:c r="B131" s="6" t="str">
        <x:v>Semaine 6</x:v>
      </x:c>
      <x:c r="C131" s="6" t="str">
        <x:v>Samedi</x:v>
      </x:c>
      <x:c r="D131" s="6" t="str">
        <x:v>Bras + épaules</x:v>
      </x:c>
      <x:c r="E131" s="6" t="str">
        <x:v>Spider curl haltères</x:v>
      </x:c>
      <x:c r="F131" s="6" t="n">
        <x:v>3</x:v>
      </x:c>
      <x:c r="G131" s="6" t="str">
        <x:v>10–12</x:v>
      </x:c>
      <x:c r="H131" s="6" t="n">
        <x:v>12</x:v>
      </x:c>
      <x:c r="I131" s="6" t="str"/>
      <x:c r="J131" s="6" t="str"/>
      <x:c r="K131" s="6" t="str"/>
      <x:c r="L131" s="6" t="str"/>
      <x:c r="M131" s="6" t="str"/>
      <x:c r="N131" s="6" t="n">
        <x:f>SUM(J131:M131)</x:f>
        <x:v>0</x:v>
      </x:c>
      <x:c r="O131" s="6" t="str">
        <x:f>IF(I131="","",I131*N131)</x:f>
      </x:c>
      <x:c r="P131" s="6" t="str">
        <x:f>IF(COUNTA(I131:M131)=0,"À remplir",IF(COUNT(J131:M131)&lt;F131,"Séries incomplètes",IF(MIN(J131:INDEX(J131:M131,1,F131))&gt;=H131,"Augmenter poids","Conserver")))</x:f>
        <x:v>Séries incomplètes</x:v>
      </x:c>
      <x:c r="Q131" s="6" t="str"/>
    </x:row>
    <x:row r="132" ht="15" hidden="0" customHeight="1">
      <x:c r="A132" s="6" t="str">
        <x:v>2026-06-06</x:v>
      </x:c>
      <x:c r="B132" s="6" t="str">
        <x:v>Semaine 6</x:v>
      </x:c>
      <x:c r="C132" s="6" t="str">
        <x:v>Samedi</x:v>
      </x:c>
      <x:c r="D132" s="6" t="str">
        <x:v>Bras + épaules</x:v>
      </x:c>
      <x:c r="E132" s="6" t="str">
        <x:v>Curl incliné haltères</x:v>
      </x:c>
      <x:c r="F132" s="6" t="n">
        <x:v>3</x:v>
      </x:c>
      <x:c r="G132" s="6" t="str">
        <x:v>10–12</x:v>
      </x:c>
      <x:c r="H132" s="6" t="n">
        <x:v>12</x:v>
      </x:c>
      <x:c r="I132" s="6" t="str"/>
      <x:c r="J132" s="6" t="str"/>
      <x:c r="K132" s="6" t="str"/>
      <x:c r="L132" s="6" t="str"/>
      <x:c r="M132" s="6" t="str"/>
      <x:c r="N132" s="6" t="n">
        <x:f>SUM(J132:M132)</x:f>
        <x:v>0</x:v>
      </x:c>
      <x:c r="O132" s="6" t="str">
        <x:f>IF(I132="","",I132*N132)</x:f>
      </x:c>
      <x:c r="P132" s="6" t="str">
        <x:f>IF(COUNTA(I132:M132)=0,"À remplir",IF(COUNT(J132:M132)&lt;F132,"Séries incomplètes",IF(MIN(J132:INDEX(J132:M132,1,F132))&gt;=H132,"Augmenter poids","Conserver")))</x:f>
        <x:v>Séries incomplètes</x:v>
      </x:c>
      <x:c r="Q132" s="6" t="str"/>
    </x:row>
    <x:row r="133" ht="15" hidden="0" customHeight="1">
      <x:c r="A133" s="6" t="str">
        <x:v>2026-06-06</x:v>
      </x:c>
      <x:c r="B133" s="6" t="str">
        <x:v>Semaine 6</x:v>
      </x:c>
      <x:c r="C133" s="6" t="str">
        <x:v>Samedi</x:v>
      </x:c>
      <x:c r="D133" s="6" t="str">
        <x:v>Bras + épaules</x:v>
      </x:c>
      <x:c r="E133" s="6" t="str">
        <x:v>Extension triceps au front haltère</x:v>
      </x:c>
      <x:c r="F133" s="6" t="n">
        <x:v>3</x:v>
      </x:c>
      <x:c r="G133" s="6" t="str">
        <x:v>10–15</x:v>
      </x:c>
      <x:c r="H133" s="6" t="n">
        <x:v>15</x:v>
      </x:c>
      <x:c r="I133" s="6" t="str"/>
      <x:c r="J133" s="6" t="str"/>
      <x:c r="K133" s="6" t="str"/>
      <x:c r="L133" s="6" t="str"/>
      <x:c r="M133" s="6" t="str"/>
      <x:c r="N133" s="6" t="n">
        <x:f>SUM(J133:M133)</x:f>
        <x:v>0</x:v>
      </x:c>
      <x:c r="O133" s="6" t="str">
        <x:f>IF(I133="","",I133*N133)</x:f>
      </x:c>
      <x:c r="P133" s="6" t="str">
        <x:f>IF(COUNTA(I133:M133)=0,"À remplir",IF(COUNT(J133:M133)&lt;F133,"Séries incomplètes",IF(MIN(J133:INDEX(J133:M133,1,F133))&gt;=H133,"Augmenter poids","Conserver")))</x:f>
        <x:v>Séries incomplètes</x:v>
      </x:c>
      <x:c r="Q133" s="6" t="str"/>
    </x:row>
    <x:row r="134" ht="15" hidden="0" customHeight="1">
      <x:c r="A134" s="6" t="str">
        <x:v>2026-06-08</x:v>
      </x:c>
      <x:c r="B134" s="6" t="str">
        <x:v>Semaine 7</x:v>
      </x:c>
      <x:c r="C134" s="6" t="str">
        <x:v>Lundi</x:v>
      </x:c>
      <x:c r="D134" s="6" t="str">
        <x:v>Push</x:v>
      </x:c>
      <x:c r="E134" s="6" t="str">
        <x:v>Développé décliné haltères</x:v>
      </x:c>
      <x:c r="F134" s="6" t="n">
        <x:v>4</x:v>
      </x:c>
      <x:c r="G134" s="6" t="str">
        <x:v>6–10</x:v>
      </x:c>
      <x:c r="H134" s="6" t="n">
        <x:v>10</x:v>
      </x:c>
      <x:c r="I134" s="6" t="str"/>
      <x:c r="J134" s="6" t="str"/>
      <x:c r="K134" s="6" t="str"/>
      <x:c r="L134" s="6" t="str"/>
      <x:c r="M134" s="6" t="str"/>
      <x:c r="N134" s="6" t="n">
        <x:f>SUM(J134:M134)</x:f>
        <x:v>0</x:v>
      </x:c>
      <x:c r="O134" s="6" t="str">
        <x:f>IF(I134="","",I134*N134)</x:f>
      </x:c>
      <x:c r="P134" s="6" t="str">
        <x:f>IF(COUNTA(I134:M134)=0,"À remplir",IF(COUNT(J134:M134)&lt;F134,"Séries incomplètes",IF(MIN(J134:INDEX(J134:M134,1,F134))&gt;=H134,"Augmenter poids","Conserver")))</x:f>
        <x:v>Séries incomplètes</x:v>
      </x:c>
      <x:c r="Q134" s="6" t="str"/>
    </x:row>
    <x:row r="135" ht="15" hidden="0" customHeight="1">
      <x:c r="A135" s="6" t="str">
        <x:v>2026-06-08</x:v>
      </x:c>
      <x:c r="B135" s="6" t="str">
        <x:v>Semaine 7</x:v>
      </x:c>
      <x:c r="C135" s="6" t="str">
        <x:v>Lundi</x:v>
      </x:c>
      <x:c r="D135" s="6" t="str">
        <x:v>Push</x:v>
      </x:c>
      <x:c r="E135" s="6" t="str">
        <x:v>Développé militaire haltères</x:v>
      </x:c>
      <x:c r="F135" s="6" t="n">
        <x:v>4</x:v>
      </x:c>
      <x:c r="G135" s="6" t="str">
        <x:v>6–10</x:v>
      </x:c>
      <x:c r="H135" s="6" t="n">
        <x:v>10</x:v>
      </x:c>
      <x:c r="I135" s="6" t="str"/>
      <x:c r="J135" s="6" t="str"/>
      <x:c r="K135" s="6" t="str"/>
      <x:c r="L135" s="6" t="str"/>
      <x:c r="M135" s="6" t="str"/>
      <x:c r="N135" s="6" t="n">
        <x:f>SUM(J135:M135)</x:f>
        <x:v>0</x:v>
      </x:c>
      <x:c r="O135" s="6" t="str">
        <x:f>IF(I135="","",I135*N135)</x:f>
      </x:c>
      <x:c r="P135" s="6" t="str">
        <x:f>IF(COUNTA(I135:M135)=0,"À remplir",IF(COUNT(J135:M135)&lt;F135,"Séries incomplètes",IF(MIN(J135:INDEX(J135:M135,1,F135))&gt;=H135,"Augmenter poids","Conserver")))</x:f>
        <x:v>Séries incomplètes</x:v>
      </x:c>
      <x:c r="Q135" s="6" t="str"/>
    </x:row>
    <x:row r="136" ht="15" hidden="0" customHeight="1">
      <x:c r="A136" s="6" t="str">
        <x:v>2026-06-08</x:v>
      </x:c>
      <x:c r="B136" s="6" t="str">
        <x:v>Semaine 7</x:v>
      </x:c>
      <x:c r="C136" s="6" t="str">
        <x:v>Lundi</x:v>
      </x:c>
      <x:c r="D136" s="6" t="str">
        <x:v>Push</x:v>
      </x:c>
      <x:c r="E136" s="6" t="str">
        <x:v>Élévations latérales inclinées</x:v>
      </x:c>
      <x:c r="F136" s="6" t="n">
        <x:v>3</x:v>
      </x:c>
      <x:c r="G136" s="6" t="str">
        <x:v>12–15</x:v>
      </x:c>
      <x:c r="H136" s="6" t="n">
        <x:v>15</x:v>
      </x:c>
      <x:c r="I136" s="6" t="str"/>
      <x:c r="J136" s="6" t="str"/>
      <x:c r="K136" s="6" t="str"/>
      <x:c r="L136" s="6" t="str"/>
      <x:c r="M136" s="6" t="str"/>
      <x:c r="N136" s="6" t="n">
        <x:f>SUM(J136:M136)</x:f>
        <x:v>0</x:v>
      </x:c>
      <x:c r="O136" s="6" t="str">
        <x:f>IF(I136="","",I136*N136)</x:f>
      </x:c>
      <x:c r="P136" s="6" t="str">
        <x:f>IF(COUNTA(I136:M136)=0,"À remplir",IF(COUNT(J136:M136)&lt;F136,"Séries incomplètes",IF(MIN(J136:INDEX(J136:M136,1,F136))&gt;=H136,"Augmenter poids","Conserver")))</x:f>
        <x:v>Séries incomplètes</x:v>
      </x:c>
      <x:c r="Q136" s="6" t="str"/>
    </x:row>
    <x:row r="137" ht="15" hidden="0" customHeight="1">
      <x:c r="A137" s="6" t="str">
        <x:v>2026-06-08</x:v>
      </x:c>
      <x:c r="B137" s="6" t="str">
        <x:v>Semaine 7</x:v>
      </x:c>
      <x:c r="C137" s="6" t="str">
        <x:v>Lundi</x:v>
      </x:c>
      <x:c r="D137" s="6" t="str">
        <x:v>Push</x:v>
      </x:c>
      <x:c r="E137" s="6" t="str">
        <x:v>Extension triceps au front haltère</x:v>
      </x:c>
      <x:c r="F137" s="6" t="n">
        <x:v>3</x:v>
      </x:c>
      <x:c r="G137" s="6" t="str">
        <x:v>10–15</x:v>
      </x:c>
      <x:c r="H137" s="6" t="n">
        <x:v>15</x:v>
      </x:c>
      <x:c r="I137" s="6" t="str"/>
      <x:c r="J137" s="6" t="str"/>
      <x:c r="K137" s="6" t="str"/>
      <x:c r="L137" s="6" t="str"/>
      <x:c r="M137" s="6" t="str"/>
      <x:c r="N137" s="6" t="n">
        <x:f>SUM(J137:M137)</x:f>
        <x:v>0</x:v>
      </x:c>
      <x:c r="O137" s="6" t="str">
        <x:f>IF(I137="","",I137*N137)</x:f>
      </x:c>
      <x:c r="P137" s="6" t="str">
        <x:f>IF(COUNTA(I137:M137)=0,"À remplir",IF(COUNT(J137:M137)&lt;F137,"Séries incomplètes",IF(MIN(J137:INDEX(J137:M137,1,F137))&gt;=H137,"Augmenter poids","Conserver")))</x:f>
        <x:v>Séries incomplètes</x:v>
      </x:c>
      <x:c r="Q137" s="6" t="str"/>
    </x:row>
    <x:row r="138" ht="15" hidden="0" customHeight="1">
      <x:c r="A138" s="6" t="str">
        <x:v>2026-06-09</x:v>
      </x:c>
      <x:c r="B138" s="6" t="str">
        <x:v>Semaine 7</x:v>
      </x:c>
      <x:c r="C138" s="6" t="str">
        <x:v>Mardi</x:v>
      </x:c>
      <x:c r="D138" s="6" t="str">
        <x:v>Pull</x:v>
      </x:c>
      <x:c r="E138" s="6" t="str">
        <x:v>Rowing haltère</x:v>
      </x:c>
      <x:c r="F138" s="6" t="n">
        <x:v>4</x:v>
      </x:c>
      <x:c r="G138" s="6" t="str">
        <x:v>8–12</x:v>
      </x:c>
      <x:c r="H138" s="6" t="n">
        <x:v>12</x:v>
      </x:c>
      <x:c r="I138" s="6" t="str"/>
      <x:c r="J138" s="6" t="str"/>
      <x:c r="K138" s="6" t="str"/>
      <x:c r="L138" s="6" t="str"/>
      <x:c r="M138" s="6" t="str"/>
      <x:c r="N138" s="6" t="n">
        <x:f>SUM(J138:M138)</x:f>
        <x:v>0</x:v>
      </x:c>
      <x:c r="O138" s="6" t="str">
        <x:f>IF(I138="","",I138*N138)</x:f>
      </x:c>
      <x:c r="P138" s="6" t="str">
        <x:f>IF(COUNTA(I138:M138)=0,"À remplir",IF(COUNT(J138:M138)&lt;F138,"Séries incomplètes",IF(MIN(J138:INDEX(J138:M138,1,F138))&gt;=H138,"Augmenter poids","Conserver")))</x:f>
        <x:v>Séries incomplètes</x:v>
      </x:c>
      <x:c r="Q138" s="6" t="str"/>
    </x:row>
    <x:row r="139" ht="15" hidden="0" customHeight="1">
      <x:c r="A139" s="6" t="str">
        <x:v>2026-06-09</x:v>
      </x:c>
      <x:c r="B139" s="6" t="str">
        <x:v>Semaine 7</x:v>
      </x:c>
      <x:c r="C139" s="6" t="str">
        <x:v>Mardi</x:v>
      </x:c>
      <x:c r="D139" s="6" t="str">
        <x:v>Pull</x:v>
      </x:c>
      <x:c r="E139" s="6" t="str">
        <x:v>Pec deck inversé / oiseau haltères</x:v>
      </x:c>
      <x:c r="F139" s="6" t="n">
        <x:v>3</x:v>
      </x:c>
      <x:c r="G139" s="6" t="str">
        <x:v>12–15</x:v>
      </x:c>
      <x:c r="H139" s="6" t="n">
        <x:v>15</x:v>
      </x:c>
      <x:c r="I139" s="6" t="str"/>
      <x:c r="J139" s="6" t="str"/>
      <x:c r="K139" s="6" t="str"/>
      <x:c r="L139" s="6" t="str"/>
      <x:c r="M139" s="6" t="str"/>
      <x:c r="N139" s="6" t="n">
        <x:f>SUM(J139:M139)</x:f>
        <x:v>0</x:v>
      </x:c>
      <x:c r="O139" s="6" t="str">
        <x:f>IF(I139="","",I139*N139)</x:f>
      </x:c>
      <x:c r="P139" s="6" t="str">
        <x:f>IF(COUNTA(I139:M139)=0,"À remplir",IF(COUNT(J139:M139)&lt;F139,"Séries incomplètes",IF(MIN(J139:INDEX(J139:M139,1,F139))&gt;=H139,"Augmenter poids","Conserver")))</x:f>
        <x:v>Séries incomplètes</x:v>
      </x:c>
      <x:c r="Q139" s="6" t="str"/>
    </x:row>
    <x:row r="140" ht="15" hidden="0" customHeight="1">
      <x:c r="A140" s="6" t="str">
        <x:v>2026-06-09</x:v>
      </x:c>
      <x:c r="B140" s="6" t="str">
        <x:v>Semaine 7</x:v>
      </x:c>
      <x:c r="C140" s="6" t="str">
        <x:v>Mardi</x:v>
      </x:c>
      <x:c r="D140" s="6" t="str">
        <x:v>Pull</x:v>
      </x:c>
      <x:c r="E140" s="6" t="str">
        <x:v>Curl incliné haltères</x:v>
      </x:c>
      <x:c r="F140" s="6" t="n">
        <x:v>3</x:v>
      </x:c>
      <x:c r="G140" s="6" t="str">
        <x:v>10–12</x:v>
      </x:c>
      <x:c r="H140" s="6" t="n">
        <x:v>12</x:v>
      </x:c>
      <x:c r="I140" s="6" t="str"/>
      <x:c r="J140" s="6" t="str"/>
      <x:c r="K140" s="6" t="str"/>
      <x:c r="L140" s="6" t="str"/>
      <x:c r="M140" s="6" t="str"/>
      <x:c r="N140" s="6" t="n">
        <x:f>SUM(J140:M140)</x:f>
        <x:v>0</x:v>
      </x:c>
      <x:c r="O140" s="6" t="str">
        <x:f>IF(I140="","",I140*N140)</x:f>
      </x:c>
      <x:c r="P140" s="6" t="str">
        <x:f>IF(COUNTA(I140:M140)=0,"À remplir",IF(COUNT(J140:M140)&lt;F140,"Séries incomplètes",IF(MIN(J140:INDEX(J140:M140,1,F140))&gt;=H140,"Augmenter poids","Conserver")))</x:f>
        <x:v>Séries incomplètes</x:v>
      </x:c>
      <x:c r="Q140" s="6" t="str"/>
    </x:row>
    <x:row r="141" ht="15" hidden="0" customHeight="1">
      <x:c r="A141" s="6" t="str">
        <x:v>2026-06-09</x:v>
      </x:c>
      <x:c r="B141" s="6" t="str">
        <x:v>Semaine 7</x:v>
      </x:c>
      <x:c r="C141" s="6" t="str">
        <x:v>Mardi</x:v>
      </x:c>
      <x:c r="D141" s="6" t="str">
        <x:v>Pull</x:v>
      </x:c>
      <x:c r="E141" s="6" t="str">
        <x:v>Spider curl haltères</x:v>
      </x:c>
      <x:c r="F141" s="6" t="n">
        <x:v>3</x:v>
      </x:c>
      <x:c r="G141" s="6" t="str">
        <x:v>10–12</x:v>
      </x:c>
      <x:c r="H141" s="6" t="n">
        <x:v>12</x:v>
      </x:c>
      <x:c r="I141" s="6" t="str"/>
      <x:c r="J141" s="6" t="str"/>
      <x:c r="K141" s="6" t="str"/>
      <x:c r="L141" s="6" t="str"/>
      <x:c r="M141" s="6" t="str"/>
      <x:c r="N141" s="6" t="n">
        <x:f>SUM(J141:M141)</x:f>
        <x:v>0</x:v>
      </x:c>
      <x:c r="O141" s="6" t="str">
        <x:f>IF(I141="","",I141*N141)</x:f>
      </x:c>
      <x:c r="P141" s="6" t="str">
        <x:f>IF(COUNTA(I141:M141)=0,"À remplir",IF(COUNT(J141:M141)&lt;F141,"Séries incomplètes",IF(MIN(J141:INDEX(J141:M141,1,F141))&gt;=H141,"Augmenter poids","Conserver")))</x:f>
        <x:v>Séries incomplètes</x:v>
      </x:c>
      <x:c r="Q141" s="6" t="str"/>
    </x:row>
    <x:row r="142" ht="15" hidden="0" customHeight="1">
      <x:c r="A142" s="6" t="str">
        <x:v>2026-06-10</x:v>
      </x:c>
      <x:c r="B142" s="6" t="str">
        <x:v>Semaine 7</x:v>
      </x:c>
      <x:c r="C142" s="6" t="str">
        <x:v>Mercredi</x:v>
      </x:c>
      <x:c r="D142" s="6" t="str">
        <x:v>Jambes</x:v>
      </x:c>
      <x:c r="E142" s="6" t="str">
        <x:v>Goblet squat</x:v>
      </x:c>
      <x:c r="F142" s="6" t="n">
        <x:v>4</x:v>
      </x:c>
      <x:c r="G142" s="6" t="str">
        <x:v>10–20</x:v>
      </x:c>
      <x:c r="H142" s="6" t="n">
        <x:v>20</x:v>
      </x:c>
      <x:c r="I142" s="6" t="str"/>
      <x:c r="J142" s="6" t="str"/>
      <x:c r="K142" s="6" t="str"/>
      <x:c r="L142" s="6" t="str"/>
      <x:c r="M142" s="6" t="str"/>
      <x:c r="N142" s="6" t="n">
        <x:f>SUM(J142:M142)</x:f>
        <x:v>0</x:v>
      </x:c>
      <x:c r="O142" s="6" t="str">
        <x:f>IF(I142="","",I142*N142)</x:f>
      </x:c>
      <x:c r="P142" s="6" t="str">
        <x:f>IF(COUNTA(I142:M142)=0,"À remplir",IF(COUNT(J142:M142)&lt;F142,"Séries incomplètes",IF(MIN(J142:INDEX(J142:M142,1,F142))&gt;=H142,"Augmenter poids","Conserver")))</x:f>
        <x:v>Séries incomplètes</x:v>
      </x:c>
      <x:c r="Q142" s="6" t="str"/>
    </x:row>
    <x:row r="143" ht="15" hidden="0" customHeight="1">
      <x:c r="A143" s="6" t="str">
        <x:v>2026-06-10</x:v>
      </x:c>
      <x:c r="B143" s="6" t="str">
        <x:v>Semaine 7</x:v>
      </x:c>
      <x:c r="C143" s="6" t="str">
        <x:v>Mercredi</x:v>
      </x:c>
      <x:c r="D143" s="6" t="str">
        <x:v>Jambes</x:v>
      </x:c>
      <x:c r="E143" s="6" t="str">
        <x:v>Fentes haltères</x:v>
      </x:c>
      <x:c r="F143" s="6" t="n">
        <x:v>3</x:v>
      </x:c>
      <x:c r="G143" s="6" t="str">
        <x:v>10–15 / jambe</x:v>
      </x:c>
      <x:c r="H143" s="6" t="n">
        <x:v>15</x:v>
      </x:c>
      <x:c r="I143" s="6" t="str"/>
      <x:c r="J143" s="6" t="str"/>
      <x:c r="K143" s="6" t="str"/>
      <x:c r="L143" s="6" t="str"/>
      <x:c r="M143" s="6" t="str"/>
      <x:c r="N143" s="6" t="n">
        <x:f>SUM(J143:M143)</x:f>
        <x:v>0</x:v>
      </x:c>
      <x:c r="O143" s="6" t="str">
        <x:f>IF(I143="","",I143*N143)</x:f>
      </x:c>
      <x:c r="P143" s="6" t="str">
        <x:f>IF(COUNTA(I143:M143)=0,"À remplir",IF(COUNT(J143:M143)&lt;F143,"Séries incomplètes",IF(MIN(J143:INDEX(J143:M143,1,F143))&gt;=H143,"Augmenter poids","Conserver")))</x:f>
        <x:v>Séries incomplètes</x:v>
      </x:c>
      <x:c r="Q143" s="6" t="str"/>
    </x:row>
    <x:row r="144" ht="15" hidden="0" customHeight="1">
      <x:c r="A144" s="6" t="str">
        <x:v>2026-06-10</x:v>
      </x:c>
      <x:c r="B144" s="6" t="str">
        <x:v>Semaine 7</x:v>
      </x:c>
      <x:c r="C144" s="6" t="str">
        <x:v>Mercredi</x:v>
      </x:c>
      <x:c r="D144" s="6" t="str">
        <x:v>Jambes</x:v>
      </x:c>
      <x:c r="E144" s="6" t="str">
        <x:v>Soulevé de terre jambes tendues haltères</x:v>
      </x:c>
      <x:c r="F144" s="6" t="n">
        <x:v>3</x:v>
      </x:c>
      <x:c r="G144" s="6" t="str">
        <x:v>10–15</x:v>
      </x:c>
      <x:c r="H144" s="6" t="n">
        <x:v>15</x:v>
      </x:c>
      <x:c r="I144" s="6" t="str"/>
      <x:c r="J144" s="6" t="str"/>
      <x:c r="K144" s="6" t="str"/>
      <x:c r="L144" s="6" t="str"/>
      <x:c r="M144" s="6" t="str"/>
      <x:c r="N144" s="6" t="n">
        <x:f>SUM(J144:M144)</x:f>
        <x:v>0</x:v>
      </x:c>
      <x:c r="O144" s="6" t="str">
        <x:f>IF(I144="","",I144*N144)</x:f>
      </x:c>
      <x:c r="P144" s="6" t="str">
        <x:f>IF(COUNTA(I144:M144)=0,"À remplir",IF(COUNT(J144:M144)&lt;F144,"Séries incomplètes",IF(MIN(J144:INDEX(J144:M144,1,F144))&gt;=H144,"Augmenter poids","Conserver")))</x:f>
        <x:v>Séries incomplètes</x:v>
      </x:c>
      <x:c r="Q144" s="6" t="str"/>
    </x:row>
    <x:row r="145" ht="15" hidden="0" customHeight="1">
      <x:c r="A145" s="6" t="str">
        <x:v>2026-06-12</x:v>
      </x:c>
      <x:c r="B145" s="6" t="str">
        <x:v>Semaine 7</x:v>
      </x:c>
      <x:c r="C145" s="6" t="str">
        <x:v>Vendredi</x:v>
      </x:c>
      <x:c r="D145" s="6" t="str">
        <x:v>Haut du corps</x:v>
      </x:c>
      <x:c r="E145" s="6" t="str">
        <x:v>Rowing haltère</x:v>
      </x:c>
      <x:c r="F145" s="6" t="n">
        <x:v>3</x:v>
      </x:c>
      <x:c r="G145" s="6" t="str">
        <x:v>8–12</x:v>
      </x:c>
      <x:c r="H145" s="6" t="n">
        <x:v>12</x:v>
      </x:c>
      <x:c r="I145" s="6" t="str"/>
      <x:c r="J145" s="6" t="str"/>
      <x:c r="K145" s="6" t="str"/>
      <x:c r="L145" s="6" t="str"/>
      <x:c r="M145" s="6" t="str"/>
      <x:c r="N145" s="6" t="n">
        <x:f>SUM(J145:M145)</x:f>
        <x:v>0</x:v>
      </x:c>
      <x:c r="O145" s="6" t="str">
        <x:f>IF(I145="","",I145*N145)</x:f>
      </x:c>
      <x:c r="P145" s="6" t="str">
        <x:f>IF(COUNTA(I145:M145)=0,"À remplir",IF(COUNT(J145:M145)&lt;F145,"Séries incomplètes",IF(MIN(J145:INDEX(J145:M145,1,F145))&gt;=H145,"Augmenter poids","Conserver")))</x:f>
        <x:v>Séries incomplètes</x:v>
      </x:c>
      <x:c r="Q145" s="6" t="str"/>
    </x:row>
    <x:row r="146" ht="15" hidden="0" customHeight="1">
      <x:c r="A146" s="6" t="str">
        <x:v>2026-06-12</x:v>
      </x:c>
      <x:c r="B146" s="6" t="str">
        <x:v>Semaine 7</x:v>
      </x:c>
      <x:c r="C146" s="6" t="str">
        <x:v>Vendredi</x:v>
      </x:c>
      <x:c r="D146" s="6" t="str">
        <x:v>Haut du corps</x:v>
      </x:c>
      <x:c r="E146" s="6" t="str">
        <x:v>Développé décliné haltères</x:v>
      </x:c>
      <x:c r="F146" s="6" t="n">
        <x:v>3</x:v>
      </x:c>
      <x:c r="G146" s="6" t="str">
        <x:v>8–12</x:v>
      </x:c>
      <x:c r="H146" s="6" t="n">
        <x:v>12</x:v>
      </x:c>
      <x:c r="I146" s="6" t="str"/>
      <x:c r="J146" s="6" t="str"/>
      <x:c r="K146" s="6" t="str"/>
      <x:c r="L146" s="6" t="str"/>
      <x:c r="M146" s="6" t="str"/>
      <x:c r="N146" s="6" t="n">
        <x:f>SUM(J146:M146)</x:f>
        <x:v>0</x:v>
      </x:c>
      <x:c r="O146" s="6" t="str">
        <x:f>IF(I146="","",I146*N146)</x:f>
      </x:c>
      <x:c r="P146" s="6" t="str">
        <x:f>IF(COUNTA(I146:M146)=0,"À remplir",IF(COUNT(J146:M146)&lt;F146,"Séries incomplètes",IF(MIN(J146:INDEX(J146:M146,1,F146))&gt;=H146,"Augmenter poids","Conserver")))</x:f>
        <x:v>Séries incomplètes</x:v>
      </x:c>
      <x:c r="Q146" s="6" t="str"/>
    </x:row>
    <x:row r="147" ht="15" hidden="0" customHeight="1">
      <x:c r="A147" s="6" t="str">
        <x:v>2026-06-12</x:v>
      </x:c>
      <x:c r="B147" s="6" t="str">
        <x:v>Semaine 7</x:v>
      </x:c>
      <x:c r="C147" s="6" t="str">
        <x:v>Vendredi</x:v>
      </x:c>
      <x:c r="D147" s="6" t="str">
        <x:v>Haut du corps</x:v>
      </x:c>
      <x:c r="E147" s="6" t="str">
        <x:v>Développé militaire haltères</x:v>
      </x:c>
      <x:c r="F147" s="6" t="n">
        <x:v>3</x:v>
      </x:c>
      <x:c r="G147" s="6" t="str">
        <x:v>8–12</x:v>
      </x:c>
      <x:c r="H147" s="6" t="n">
        <x:v>12</x:v>
      </x:c>
      <x:c r="I147" s="6" t="str"/>
      <x:c r="J147" s="6" t="str"/>
      <x:c r="K147" s="6" t="str"/>
      <x:c r="L147" s="6" t="str"/>
      <x:c r="M147" s="6" t="str"/>
      <x:c r="N147" s="6" t="n">
        <x:f>SUM(J147:M147)</x:f>
        <x:v>0</x:v>
      </x:c>
      <x:c r="O147" s="6" t="str">
        <x:f>IF(I147="","",I147*N147)</x:f>
      </x:c>
      <x:c r="P147" s="6" t="str">
        <x:f>IF(COUNTA(I147:M147)=0,"À remplir",IF(COUNT(J147:M147)&lt;F147,"Séries incomplètes",IF(MIN(J147:INDEX(J147:M147,1,F147))&gt;=H147,"Augmenter poids","Conserver")))</x:f>
        <x:v>Séries incomplètes</x:v>
      </x:c>
      <x:c r="Q147" s="6" t="str"/>
    </x:row>
    <x:row r="148" ht="15" hidden="0" customHeight="1">
      <x:c r="A148" s="6" t="str">
        <x:v>2026-06-12</x:v>
      </x:c>
      <x:c r="B148" s="6" t="str">
        <x:v>Semaine 7</x:v>
      </x:c>
      <x:c r="C148" s="6" t="str">
        <x:v>Vendredi</x:v>
      </x:c>
      <x:c r="D148" s="6" t="str">
        <x:v>Haut du corps</x:v>
      </x:c>
      <x:c r="E148" s="6" t="str">
        <x:v>Élévations latérales inclinées</x:v>
      </x:c>
      <x:c r="F148" s="6" t="n">
        <x:v>3</x:v>
      </x:c>
      <x:c r="G148" s="6" t="str">
        <x:v>12–15</x:v>
      </x:c>
      <x:c r="H148" s="6" t="n">
        <x:v>15</x:v>
      </x:c>
      <x:c r="I148" s="6" t="str"/>
      <x:c r="J148" s="6" t="str"/>
      <x:c r="K148" s="6" t="str"/>
      <x:c r="L148" s="6" t="str"/>
      <x:c r="M148" s="6" t="str"/>
      <x:c r="N148" s="6" t="n">
        <x:f>SUM(J148:M148)</x:f>
        <x:v>0</x:v>
      </x:c>
      <x:c r="O148" s="6" t="str">
        <x:f>IF(I148="","",I148*N148)</x:f>
      </x:c>
      <x:c r="P148" s="6" t="str">
        <x:f>IF(COUNTA(I148:M148)=0,"À remplir",IF(COUNT(J148:M148)&lt;F148,"Séries incomplètes",IF(MIN(J148:INDEX(J148:M148,1,F148))&gt;=H148,"Augmenter poids","Conserver")))</x:f>
        <x:v>Séries incomplètes</x:v>
      </x:c>
      <x:c r="Q148" s="6" t="str"/>
    </x:row>
    <x:row r="149" ht="15" hidden="0" customHeight="1">
      <x:c r="A149" s="6" t="str">
        <x:v>2026-06-12</x:v>
      </x:c>
      <x:c r="B149" s="6" t="str">
        <x:v>Semaine 7</x:v>
      </x:c>
      <x:c r="C149" s="6" t="str">
        <x:v>Vendredi</x:v>
      </x:c>
      <x:c r="D149" s="6" t="str">
        <x:v>Haut du corps</x:v>
      </x:c>
      <x:c r="E149" s="6" t="str">
        <x:v>Curl incliné haltères</x:v>
      </x:c>
      <x:c r="F149" s="6" t="n">
        <x:v>2</x:v>
      </x:c>
      <x:c r="G149" s="6" t="str">
        <x:v>10–12</x:v>
      </x:c>
      <x:c r="H149" s="6" t="n">
        <x:v>12</x:v>
      </x:c>
      <x:c r="I149" s="6" t="str"/>
      <x:c r="J149" s="6" t="str"/>
      <x:c r="K149" s="6" t="str"/>
      <x:c r="L149" s="6" t="str"/>
      <x:c r="M149" s="6" t="str"/>
      <x:c r="N149" s="6" t="n">
        <x:f>SUM(J149:M149)</x:f>
        <x:v>0</x:v>
      </x:c>
      <x:c r="O149" s="6" t="str">
        <x:f>IF(I149="","",I149*N149)</x:f>
      </x:c>
      <x:c r="P149" s="6" t="str">
        <x:f>IF(COUNTA(I149:M149)=0,"À remplir",IF(COUNT(J149:M149)&lt;F149,"Séries incomplètes",IF(MIN(J149:INDEX(J149:M149,1,F149))&gt;=H149,"Augmenter poids","Conserver")))</x:f>
        <x:v>Séries incomplètes</x:v>
      </x:c>
      <x:c r="Q149" s="6" t="str"/>
    </x:row>
    <x:row r="150" ht="15" hidden="0" customHeight="1">
      <x:c r="A150" s="6" t="str">
        <x:v>2026-06-12</x:v>
      </x:c>
      <x:c r="B150" s="6" t="str">
        <x:v>Semaine 7</x:v>
      </x:c>
      <x:c r="C150" s="6" t="str">
        <x:v>Vendredi</x:v>
      </x:c>
      <x:c r="D150" s="6" t="str">
        <x:v>Haut du corps</x:v>
      </x:c>
      <x:c r="E150" s="6" t="str">
        <x:v>Extension triceps au front haltère</x:v>
      </x:c>
      <x:c r="F150" s="6" t="n">
        <x:v>2</x:v>
      </x:c>
      <x:c r="G150" s="6" t="str">
        <x:v>10–15</x:v>
      </x:c>
      <x:c r="H150" s="6" t="n">
        <x:v>15</x:v>
      </x:c>
      <x:c r="I150" s="6" t="str"/>
      <x:c r="J150" s="6" t="str"/>
      <x:c r="K150" s="6" t="str"/>
      <x:c r="L150" s="6" t="str"/>
      <x:c r="M150" s="6" t="str"/>
      <x:c r="N150" s="6" t="n">
        <x:f>SUM(J150:M150)</x:f>
        <x:v>0</x:v>
      </x:c>
      <x:c r="O150" s="6" t="str">
        <x:f>IF(I150="","",I150*N150)</x:f>
      </x:c>
      <x:c r="P150" s="6" t="str">
        <x:f>IF(COUNTA(I150:M150)=0,"À remplir",IF(COUNT(J150:M150)&lt;F150,"Séries incomplètes",IF(MIN(J150:INDEX(J150:M150,1,F150))&gt;=H150,"Augmenter poids","Conserver")))</x:f>
        <x:v>Séries incomplètes</x:v>
      </x:c>
      <x:c r="Q150" s="6" t="str"/>
    </x:row>
    <x:row r="151" ht="15" hidden="0" customHeight="1">
      <x:c r="A151" s="6" t="str">
        <x:v>2026-06-13</x:v>
      </x:c>
      <x:c r="B151" s="6" t="str">
        <x:v>Semaine 7</x:v>
      </x:c>
      <x:c r="C151" s="6" t="str">
        <x:v>Samedi</x:v>
      </x:c>
      <x:c r="D151" s="6" t="str">
        <x:v>Bras + épaules</x:v>
      </x:c>
      <x:c r="E151" s="6" t="str">
        <x:v>Élévations latérales inclinées</x:v>
      </x:c>
      <x:c r="F151" s="6" t="n">
        <x:v>4</x:v>
      </x:c>
      <x:c r="G151" s="6" t="str">
        <x:v>12–20</x:v>
      </x:c>
      <x:c r="H151" s="6" t="n">
        <x:v>20</x:v>
      </x:c>
      <x:c r="I151" s="6" t="str"/>
      <x:c r="J151" s="6" t="str"/>
      <x:c r="K151" s="6" t="str"/>
      <x:c r="L151" s="6" t="str"/>
      <x:c r="M151" s="6" t="str"/>
      <x:c r="N151" s="6" t="n">
        <x:f>SUM(J151:M151)</x:f>
        <x:v>0</x:v>
      </x:c>
      <x:c r="O151" s="6" t="str">
        <x:f>IF(I151="","",I151*N151)</x:f>
      </x:c>
      <x:c r="P151" s="6" t="str">
        <x:f>IF(COUNTA(I151:M151)=0,"À remplir",IF(COUNT(J151:M151)&lt;F151,"Séries incomplètes",IF(MIN(J151:INDEX(J151:M151,1,F151))&gt;=H151,"Augmenter poids","Conserver")))</x:f>
        <x:v>Séries incomplètes</x:v>
      </x:c>
      <x:c r="Q151" s="6" t="str"/>
    </x:row>
    <x:row r="152" ht="15" hidden="0" customHeight="1">
      <x:c r="A152" s="6" t="str">
        <x:v>2026-06-13</x:v>
      </x:c>
      <x:c r="B152" s="6" t="str">
        <x:v>Semaine 7</x:v>
      </x:c>
      <x:c r="C152" s="6" t="str">
        <x:v>Samedi</x:v>
      </x:c>
      <x:c r="D152" s="6" t="str">
        <x:v>Bras + épaules</x:v>
      </x:c>
      <x:c r="E152" s="6" t="str">
        <x:v>Pec deck inversé / oiseau haltères</x:v>
      </x:c>
      <x:c r="F152" s="6" t="n">
        <x:v>3</x:v>
      </x:c>
      <x:c r="G152" s="6" t="str">
        <x:v>12–15</x:v>
      </x:c>
      <x:c r="H152" s="6" t="n">
        <x:v>15</x:v>
      </x:c>
      <x:c r="I152" s="6" t="str"/>
      <x:c r="J152" s="6" t="str"/>
      <x:c r="K152" s="6" t="str"/>
      <x:c r="L152" s="6" t="str"/>
      <x:c r="M152" s="6" t="str"/>
      <x:c r="N152" s="6" t="n">
        <x:f>SUM(J152:M152)</x:f>
        <x:v>0</x:v>
      </x:c>
      <x:c r="O152" s="6" t="str">
        <x:f>IF(I152="","",I152*N152)</x:f>
      </x:c>
      <x:c r="P152" s="6" t="str">
        <x:f>IF(COUNTA(I152:M152)=0,"À remplir",IF(COUNT(J152:M152)&lt;F152,"Séries incomplètes",IF(MIN(J152:INDEX(J152:M152,1,F152))&gt;=H152,"Augmenter poids","Conserver")))</x:f>
        <x:v>Séries incomplètes</x:v>
      </x:c>
      <x:c r="Q152" s="6" t="str"/>
    </x:row>
    <x:row r="153" ht="15" hidden="0" customHeight="1">
      <x:c r="A153" s="6" t="str">
        <x:v>2026-06-13</x:v>
      </x:c>
      <x:c r="B153" s="6" t="str">
        <x:v>Semaine 7</x:v>
      </x:c>
      <x:c r="C153" s="6" t="str">
        <x:v>Samedi</x:v>
      </x:c>
      <x:c r="D153" s="6" t="str">
        <x:v>Bras + épaules</x:v>
      </x:c>
      <x:c r="E153" s="6" t="str">
        <x:v>Spider curl haltères</x:v>
      </x:c>
      <x:c r="F153" s="6" t="n">
        <x:v>3</x:v>
      </x:c>
      <x:c r="G153" s="6" t="str">
        <x:v>10–12</x:v>
      </x:c>
      <x:c r="H153" s="6" t="n">
        <x:v>12</x:v>
      </x:c>
      <x:c r="I153" s="6" t="str"/>
      <x:c r="J153" s="6" t="str"/>
      <x:c r="K153" s="6" t="str"/>
      <x:c r="L153" s="6" t="str"/>
      <x:c r="M153" s="6" t="str"/>
      <x:c r="N153" s="6" t="n">
        <x:f>SUM(J153:M153)</x:f>
        <x:v>0</x:v>
      </x:c>
      <x:c r="O153" s="6" t="str">
        <x:f>IF(I153="","",I153*N153)</x:f>
      </x:c>
      <x:c r="P153" s="6" t="str">
        <x:f>IF(COUNTA(I153:M153)=0,"À remplir",IF(COUNT(J153:M153)&lt;F153,"Séries incomplètes",IF(MIN(J153:INDEX(J153:M153,1,F153))&gt;=H153,"Augmenter poids","Conserver")))</x:f>
        <x:v>Séries incomplètes</x:v>
      </x:c>
      <x:c r="Q153" s="6" t="str"/>
    </x:row>
    <x:row r="154" ht="15" hidden="0" customHeight="1">
      <x:c r="A154" s="6" t="str">
        <x:v>2026-06-13</x:v>
      </x:c>
      <x:c r="B154" s="6" t="str">
        <x:v>Semaine 7</x:v>
      </x:c>
      <x:c r="C154" s="6" t="str">
        <x:v>Samedi</x:v>
      </x:c>
      <x:c r="D154" s="6" t="str">
        <x:v>Bras + épaules</x:v>
      </x:c>
      <x:c r="E154" s="6" t="str">
        <x:v>Curl incliné haltères</x:v>
      </x:c>
      <x:c r="F154" s="6" t="n">
        <x:v>3</x:v>
      </x:c>
      <x:c r="G154" s="6" t="str">
        <x:v>10–12</x:v>
      </x:c>
      <x:c r="H154" s="6" t="n">
        <x:v>12</x:v>
      </x:c>
      <x:c r="I154" s="6" t="str"/>
      <x:c r="J154" s="6" t="str"/>
      <x:c r="K154" s="6" t="str"/>
      <x:c r="L154" s="6" t="str"/>
      <x:c r="M154" s="6" t="str"/>
      <x:c r="N154" s="6" t="n">
        <x:f>SUM(J154:M154)</x:f>
        <x:v>0</x:v>
      </x:c>
      <x:c r="O154" s="6" t="str">
        <x:f>IF(I154="","",I154*N154)</x:f>
      </x:c>
      <x:c r="P154" s="6" t="str">
        <x:f>IF(COUNTA(I154:M154)=0,"À remplir",IF(COUNT(J154:M154)&lt;F154,"Séries incomplètes",IF(MIN(J154:INDEX(J154:M154,1,F154))&gt;=H154,"Augmenter poids","Conserver")))</x:f>
        <x:v>Séries incomplètes</x:v>
      </x:c>
      <x:c r="Q154" s="6" t="str"/>
    </x:row>
    <x:row r="155" ht="15" hidden="0" customHeight="1">
      <x:c r="A155" s="6" t="str">
        <x:v>2026-06-13</x:v>
      </x:c>
      <x:c r="B155" s="6" t="str">
        <x:v>Semaine 7</x:v>
      </x:c>
      <x:c r="C155" s="6" t="str">
        <x:v>Samedi</x:v>
      </x:c>
      <x:c r="D155" s="6" t="str">
        <x:v>Bras + épaules</x:v>
      </x:c>
      <x:c r="E155" s="6" t="str">
        <x:v>Extension triceps au front haltère</x:v>
      </x:c>
      <x:c r="F155" s="6" t="n">
        <x:v>3</x:v>
      </x:c>
      <x:c r="G155" s="6" t="str">
        <x:v>10–15</x:v>
      </x:c>
      <x:c r="H155" s="6" t="n">
        <x:v>15</x:v>
      </x:c>
      <x:c r="I155" s="6" t="str"/>
      <x:c r="J155" s="6" t="str"/>
      <x:c r="K155" s="6" t="str"/>
      <x:c r="L155" s="6" t="str"/>
      <x:c r="M155" s="6" t="str"/>
      <x:c r="N155" s="6" t="n">
        <x:f>SUM(J155:M155)</x:f>
        <x:v>0</x:v>
      </x:c>
      <x:c r="O155" s="6" t="str">
        <x:f>IF(I155="","",I155*N155)</x:f>
      </x:c>
      <x:c r="P155" s="6" t="str">
        <x:f>IF(COUNTA(I155:M155)=0,"À remplir",IF(COUNT(J155:M155)&lt;F155,"Séries incomplètes",IF(MIN(J155:INDEX(J155:M155,1,F155))&gt;=H155,"Augmenter poids","Conserver")))</x:f>
        <x:v>Séries incomplètes</x:v>
      </x:c>
      <x:c r="Q155" s="6" t="str"/>
    </x:row>
    <x:row r="156" ht="15" hidden="0" customHeight="1">
      <x:c r="A156" s="6" t="str">
        <x:v>2026-06-15</x:v>
      </x:c>
      <x:c r="B156" s="6" t="str">
        <x:v>Semaine 8</x:v>
      </x:c>
      <x:c r="C156" s="6" t="str">
        <x:v>Lundi</x:v>
      </x:c>
      <x:c r="D156" s="6" t="str">
        <x:v>Push</x:v>
      </x:c>
      <x:c r="E156" s="6" t="str">
        <x:v>Développé décliné haltères</x:v>
      </x:c>
      <x:c r="F156" s="6" t="n">
        <x:v>4</x:v>
      </x:c>
      <x:c r="G156" s="6" t="str">
        <x:v>6–10</x:v>
      </x:c>
      <x:c r="H156" s="6" t="n">
        <x:v>10</x:v>
      </x:c>
      <x:c r="I156" s="6" t="str"/>
      <x:c r="J156" s="6" t="str"/>
      <x:c r="K156" s="6" t="str"/>
      <x:c r="L156" s="6" t="str"/>
      <x:c r="M156" s="6" t="str"/>
      <x:c r="N156" s="6" t="n">
        <x:f>SUM(J156:M156)</x:f>
        <x:v>0</x:v>
      </x:c>
      <x:c r="O156" s="6" t="str">
        <x:f>IF(I156="","",I156*N156)</x:f>
      </x:c>
      <x:c r="P156" s="6" t="str">
        <x:f>IF(COUNTA(I156:M156)=0,"À remplir",IF(COUNT(J156:M156)&lt;F156,"Séries incomplètes",IF(MIN(J156:INDEX(J156:M156,1,F156))&gt;=H156,"Augmenter poids","Conserver")))</x:f>
        <x:v>Séries incomplètes</x:v>
      </x:c>
      <x:c r="Q156" s="6" t="str"/>
    </x:row>
    <x:row r="157" ht="15" hidden="0" customHeight="1">
      <x:c r="A157" s="6" t="str">
        <x:v>2026-06-15</x:v>
      </x:c>
      <x:c r="B157" s="6" t="str">
        <x:v>Semaine 8</x:v>
      </x:c>
      <x:c r="C157" s="6" t="str">
        <x:v>Lundi</x:v>
      </x:c>
      <x:c r="D157" s="6" t="str">
        <x:v>Push</x:v>
      </x:c>
      <x:c r="E157" s="6" t="str">
        <x:v>Développé militaire haltères</x:v>
      </x:c>
      <x:c r="F157" s="6" t="n">
        <x:v>4</x:v>
      </x:c>
      <x:c r="G157" s="6" t="str">
        <x:v>6–10</x:v>
      </x:c>
      <x:c r="H157" s="6" t="n">
        <x:v>10</x:v>
      </x:c>
      <x:c r="I157" s="6" t="str"/>
      <x:c r="J157" s="6" t="str"/>
      <x:c r="K157" s="6" t="str"/>
      <x:c r="L157" s="6" t="str"/>
      <x:c r="M157" s="6" t="str"/>
      <x:c r="N157" s="6" t="n">
        <x:f>SUM(J157:M157)</x:f>
        <x:v>0</x:v>
      </x:c>
      <x:c r="O157" s="6" t="str">
        <x:f>IF(I157="","",I157*N157)</x:f>
      </x:c>
      <x:c r="P157" s="6" t="str">
        <x:f>IF(COUNTA(I157:M157)=0,"À remplir",IF(COUNT(J157:M157)&lt;F157,"Séries incomplètes",IF(MIN(J157:INDEX(J157:M157,1,F157))&gt;=H157,"Augmenter poids","Conserver")))</x:f>
        <x:v>Séries incomplètes</x:v>
      </x:c>
      <x:c r="Q157" s="6" t="str"/>
    </x:row>
    <x:row r="158" ht="15" hidden="0" customHeight="1">
      <x:c r="A158" s="6" t="str">
        <x:v>2026-06-15</x:v>
      </x:c>
      <x:c r="B158" s="6" t="str">
        <x:v>Semaine 8</x:v>
      </x:c>
      <x:c r="C158" s="6" t="str">
        <x:v>Lundi</x:v>
      </x:c>
      <x:c r="D158" s="6" t="str">
        <x:v>Push</x:v>
      </x:c>
      <x:c r="E158" s="6" t="str">
        <x:v>Élévations latérales inclinées</x:v>
      </x:c>
      <x:c r="F158" s="6" t="n">
        <x:v>3</x:v>
      </x:c>
      <x:c r="G158" s="6" t="str">
        <x:v>12–15</x:v>
      </x:c>
      <x:c r="H158" s="6" t="n">
        <x:v>15</x:v>
      </x:c>
      <x:c r="I158" s="6" t="str"/>
      <x:c r="J158" s="6" t="str"/>
      <x:c r="K158" s="6" t="str"/>
      <x:c r="L158" s="6" t="str"/>
      <x:c r="M158" s="6" t="str"/>
      <x:c r="N158" s="6" t="n">
        <x:f>SUM(J158:M158)</x:f>
        <x:v>0</x:v>
      </x:c>
      <x:c r="O158" s="6" t="str">
        <x:f>IF(I158="","",I158*N158)</x:f>
      </x:c>
      <x:c r="P158" s="6" t="str">
        <x:f>IF(COUNTA(I158:M158)=0,"À remplir",IF(COUNT(J158:M158)&lt;F158,"Séries incomplètes",IF(MIN(J158:INDEX(J158:M158,1,F158))&gt;=H158,"Augmenter poids","Conserver")))</x:f>
        <x:v>Séries incomplètes</x:v>
      </x:c>
      <x:c r="Q158" s="6" t="str"/>
    </x:row>
    <x:row r="159" ht="15" hidden="0" customHeight="1">
      <x:c r="A159" s="6" t="str">
        <x:v>2026-06-15</x:v>
      </x:c>
      <x:c r="B159" s="6" t="str">
        <x:v>Semaine 8</x:v>
      </x:c>
      <x:c r="C159" s="6" t="str">
        <x:v>Lundi</x:v>
      </x:c>
      <x:c r="D159" s="6" t="str">
        <x:v>Push</x:v>
      </x:c>
      <x:c r="E159" s="6" t="str">
        <x:v>Extension triceps au front haltère</x:v>
      </x:c>
      <x:c r="F159" s="6" t="n">
        <x:v>3</x:v>
      </x:c>
      <x:c r="G159" s="6" t="str">
        <x:v>10–15</x:v>
      </x:c>
      <x:c r="H159" s="6" t="n">
        <x:v>15</x:v>
      </x:c>
      <x:c r="I159" s="6" t="str"/>
      <x:c r="J159" s="6" t="str"/>
      <x:c r="K159" s="6" t="str"/>
      <x:c r="L159" s="6" t="str"/>
      <x:c r="M159" s="6" t="str"/>
      <x:c r="N159" s="6" t="n">
        <x:f>SUM(J159:M159)</x:f>
        <x:v>0</x:v>
      </x:c>
      <x:c r="O159" s="6" t="str">
        <x:f>IF(I159="","",I159*N159)</x:f>
      </x:c>
      <x:c r="P159" s="6" t="str">
        <x:f>IF(COUNTA(I159:M159)=0,"À remplir",IF(COUNT(J159:M159)&lt;F159,"Séries incomplètes",IF(MIN(J159:INDEX(J159:M159,1,F159))&gt;=H159,"Augmenter poids","Conserver")))</x:f>
        <x:v>Séries incomplètes</x:v>
      </x:c>
      <x:c r="Q159" s="6" t="str"/>
    </x:row>
    <x:row r="160" ht="15" hidden="0" customHeight="1">
      <x:c r="A160" s="6" t="str">
        <x:v>2026-06-16</x:v>
      </x:c>
      <x:c r="B160" s="6" t="str">
        <x:v>Semaine 8</x:v>
      </x:c>
      <x:c r="C160" s="6" t="str">
        <x:v>Mardi</x:v>
      </x:c>
      <x:c r="D160" s="6" t="str">
        <x:v>Pull</x:v>
      </x:c>
      <x:c r="E160" s="6" t="str">
        <x:v>Rowing haltère</x:v>
      </x:c>
      <x:c r="F160" s="6" t="n">
        <x:v>4</x:v>
      </x:c>
      <x:c r="G160" s="6" t="str">
        <x:v>8–12</x:v>
      </x:c>
      <x:c r="H160" s="6" t="n">
        <x:v>12</x:v>
      </x:c>
      <x:c r="I160" s="6" t="str"/>
      <x:c r="J160" s="6" t="str"/>
      <x:c r="K160" s="6" t="str"/>
      <x:c r="L160" s="6" t="str"/>
      <x:c r="M160" s="6" t="str"/>
      <x:c r="N160" s="6" t="n">
        <x:f>SUM(J160:M160)</x:f>
        <x:v>0</x:v>
      </x:c>
      <x:c r="O160" s="6" t="str">
        <x:f>IF(I160="","",I160*N160)</x:f>
      </x:c>
      <x:c r="P160" s="6" t="str">
        <x:f>IF(COUNTA(I160:M160)=0,"À remplir",IF(COUNT(J160:M160)&lt;F160,"Séries incomplètes",IF(MIN(J160:INDEX(J160:M160,1,F160))&gt;=H160,"Augmenter poids","Conserver")))</x:f>
        <x:v>Séries incomplètes</x:v>
      </x:c>
      <x:c r="Q160" s="6" t="str"/>
    </x:row>
    <x:row r="161" ht="15" hidden="0" customHeight="1">
      <x:c r="A161" s="6" t="str">
        <x:v>2026-06-16</x:v>
      </x:c>
      <x:c r="B161" s="6" t="str">
        <x:v>Semaine 8</x:v>
      </x:c>
      <x:c r="C161" s="6" t="str">
        <x:v>Mardi</x:v>
      </x:c>
      <x:c r="D161" s="6" t="str">
        <x:v>Pull</x:v>
      </x:c>
      <x:c r="E161" s="6" t="str">
        <x:v>Pec deck inversé / oiseau haltères</x:v>
      </x:c>
      <x:c r="F161" s="6" t="n">
        <x:v>3</x:v>
      </x:c>
      <x:c r="G161" s="6" t="str">
        <x:v>12–15</x:v>
      </x:c>
      <x:c r="H161" s="6" t="n">
        <x:v>15</x:v>
      </x:c>
      <x:c r="I161" s="6" t="str"/>
      <x:c r="J161" s="6" t="str"/>
      <x:c r="K161" s="6" t="str"/>
      <x:c r="L161" s="6" t="str"/>
      <x:c r="M161" s="6" t="str"/>
      <x:c r="N161" s="6" t="n">
        <x:f>SUM(J161:M161)</x:f>
        <x:v>0</x:v>
      </x:c>
      <x:c r="O161" s="6" t="str">
        <x:f>IF(I161="","",I161*N161)</x:f>
      </x:c>
      <x:c r="P161" s="6" t="str">
        <x:f>IF(COUNTA(I161:M161)=0,"À remplir",IF(COUNT(J161:M161)&lt;F161,"Séries incomplètes",IF(MIN(J161:INDEX(J161:M161,1,F161))&gt;=H161,"Augmenter poids","Conserver")))</x:f>
        <x:v>Séries incomplètes</x:v>
      </x:c>
      <x:c r="Q161" s="6" t="str"/>
    </x:row>
    <x:row r="162" ht="15" hidden="0" customHeight="1">
      <x:c r="A162" s="6" t="str">
        <x:v>2026-06-16</x:v>
      </x:c>
      <x:c r="B162" s="6" t="str">
        <x:v>Semaine 8</x:v>
      </x:c>
      <x:c r="C162" s="6" t="str">
        <x:v>Mardi</x:v>
      </x:c>
      <x:c r="D162" s="6" t="str">
        <x:v>Pull</x:v>
      </x:c>
      <x:c r="E162" s="6" t="str">
        <x:v>Curl incliné haltères</x:v>
      </x:c>
      <x:c r="F162" s="6" t="n">
        <x:v>3</x:v>
      </x:c>
      <x:c r="G162" s="6" t="str">
        <x:v>10–12</x:v>
      </x:c>
      <x:c r="H162" s="6" t="n">
        <x:v>12</x:v>
      </x:c>
      <x:c r="I162" s="6" t="str"/>
      <x:c r="J162" s="6" t="str"/>
      <x:c r="K162" s="6" t="str"/>
      <x:c r="L162" s="6" t="str"/>
      <x:c r="M162" s="6" t="str"/>
      <x:c r="N162" s="6" t="n">
        <x:f>SUM(J162:M162)</x:f>
        <x:v>0</x:v>
      </x:c>
      <x:c r="O162" s="6" t="str">
        <x:f>IF(I162="","",I162*N162)</x:f>
      </x:c>
      <x:c r="P162" s="6" t="str">
        <x:f>IF(COUNTA(I162:M162)=0,"À remplir",IF(COUNT(J162:M162)&lt;F162,"Séries incomplètes",IF(MIN(J162:INDEX(J162:M162,1,F162))&gt;=H162,"Augmenter poids","Conserver")))</x:f>
        <x:v>Séries incomplètes</x:v>
      </x:c>
      <x:c r="Q162" s="6" t="str"/>
    </x:row>
    <x:row r="163" ht="15" hidden="0" customHeight="1">
      <x:c r="A163" s="6" t="str">
        <x:v>2026-06-16</x:v>
      </x:c>
      <x:c r="B163" s="6" t="str">
        <x:v>Semaine 8</x:v>
      </x:c>
      <x:c r="C163" s="6" t="str">
        <x:v>Mardi</x:v>
      </x:c>
      <x:c r="D163" s="6" t="str">
        <x:v>Pull</x:v>
      </x:c>
      <x:c r="E163" s="6" t="str">
        <x:v>Spider curl haltères</x:v>
      </x:c>
      <x:c r="F163" s="6" t="n">
        <x:v>3</x:v>
      </x:c>
      <x:c r="G163" s="6" t="str">
        <x:v>10–12</x:v>
      </x:c>
      <x:c r="H163" s="6" t="n">
        <x:v>12</x:v>
      </x:c>
      <x:c r="I163" s="6" t="str"/>
      <x:c r="J163" s="6" t="str"/>
      <x:c r="K163" s="6" t="str"/>
      <x:c r="L163" s="6" t="str"/>
      <x:c r="M163" s="6" t="str"/>
      <x:c r="N163" s="6" t="n">
        <x:f>SUM(J163:M163)</x:f>
        <x:v>0</x:v>
      </x:c>
      <x:c r="O163" s="6" t="str">
        <x:f>IF(I163="","",I163*N163)</x:f>
      </x:c>
      <x:c r="P163" s="6" t="str">
        <x:f>IF(COUNTA(I163:M163)=0,"À remplir",IF(COUNT(J163:M163)&lt;F163,"Séries incomplètes",IF(MIN(J163:INDEX(J163:M163,1,F163))&gt;=H163,"Augmenter poids","Conserver")))</x:f>
        <x:v>Séries incomplètes</x:v>
      </x:c>
      <x:c r="Q163" s="6" t="str"/>
    </x:row>
    <x:row r="164" ht="15" hidden="0" customHeight="1">
      <x:c r="A164" s="6" t="str">
        <x:v>2026-06-17</x:v>
      </x:c>
      <x:c r="B164" s="6" t="str">
        <x:v>Semaine 8</x:v>
      </x:c>
      <x:c r="C164" s="6" t="str">
        <x:v>Mercredi</x:v>
      </x:c>
      <x:c r="D164" s="6" t="str">
        <x:v>Jambes</x:v>
      </x:c>
      <x:c r="E164" s="6" t="str">
        <x:v>Goblet squat</x:v>
      </x:c>
      <x:c r="F164" s="6" t="n">
        <x:v>4</x:v>
      </x:c>
      <x:c r="G164" s="6" t="str">
        <x:v>10–20</x:v>
      </x:c>
      <x:c r="H164" s="6" t="n">
        <x:v>20</x:v>
      </x:c>
      <x:c r="I164" s="6" t="str"/>
      <x:c r="J164" s="6" t="str"/>
      <x:c r="K164" s="6" t="str"/>
      <x:c r="L164" s="6" t="str"/>
      <x:c r="M164" s="6" t="str"/>
      <x:c r="N164" s="6" t="n">
        <x:f>SUM(J164:M164)</x:f>
        <x:v>0</x:v>
      </x:c>
      <x:c r="O164" s="6" t="str">
        <x:f>IF(I164="","",I164*N164)</x:f>
      </x:c>
      <x:c r="P164" s="6" t="str">
        <x:f>IF(COUNTA(I164:M164)=0,"À remplir",IF(COUNT(J164:M164)&lt;F164,"Séries incomplètes",IF(MIN(J164:INDEX(J164:M164,1,F164))&gt;=H164,"Augmenter poids","Conserver")))</x:f>
        <x:v>Séries incomplètes</x:v>
      </x:c>
      <x:c r="Q164" s="6" t="str"/>
    </x:row>
    <x:row r="165" ht="15" hidden="0" customHeight="1">
      <x:c r="A165" s="6" t="str">
        <x:v>2026-06-17</x:v>
      </x:c>
      <x:c r="B165" s="6" t="str">
        <x:v>Semaine 8</x:v>
      </x:c>
      <x:c r="C165" s="6" t="str">
        <x:v>Mercredi</x:v>
      </x:c>
      <x:c r="D165" s="6" t="str">
        <x:v>Jambes</x:v>
      </x:c>
      <x:c r="E165" s="6" t="str">
        <x:v>Fentes haltères</x:v>
      </x:c>
      <x:c r="F165" s="6" t="n">
        <x:v>3</x:v>
      </x:c>
      <x:c r="G165" s="6" t="str">
        <x:v>10–15 / jambe</x:v>
      </x:c>
      <x:c r="H165" s="6" t="n">
        <x:v>15</x:v>
      </x:c>
      <x:c r="I165" s="6" t="str"/>
      <x:c r="J165" s="6" t="str"/>
      <x:c r="K165" s="6" t="str"/>
      <x:c r="L165" s="6" t="str"/>
      <x:c r="M165" s="6" t="str"/>
      <x:c r="N165" s="6" t="n">
        <x:f>SUM(J165:M165)</x:f>
        <x:v>0</x:v>
      </x:c>
      <x:c r="O165" s="6" t="str">
        <x:f>IF(I165="","",I165*N165)</x:f>
      </x:c>
      <x:c r="P165" s="6" t="str">
        <x:f>IF(COUNTA(I165:M165)=0,"À remplir",IF(COUNT(J165:M165)&lt;F165,"Séries incomplètes",IF(MIN(J165:INDEX(J165:M165,1,F165))&gt;=H165,"Augmenter poids","Conserver")))</x:f>
        <x:v>Séries incomplètes</x:v>
      </x:c>
      <x:c r="Q165" s="6" t="str"/>
    </x:row>
    <x:row r="166" ht="15" hidden="0" customHeight="1">
      <x:c r="A166" s="6" t="str">
        <x:v>2026-06-17</x:v>
      </x:c>
      <x:c r="B166" s="6" t="str">
        <x:v>Semaine 8</x:v>
      </x:c>
      <x:c r="C166" s="6" t="str">
        <x:v>Mercredi</x:v>
      </x:c>
      <x:c r="D166" s="6" t="str">
        <x:v>Jambes</x:v>
      </x:c>
      <x:c r="E166" s="6" t="str">
        <x:v>Soulevé de terre jambes tendues haltères</x:v>
      </x:c>
      <x:c r="F166" s="6" t="n">
        <x:v>3</x:v>
      </x:c>
      <x:c r="G166" s="6" t="str">
        <x:v>10–15</x:v>
      </x:c>
      <x:c r="H166" s="6" t="n">
        <x:v>15</x:v>
      </x:c>
      <x:c r="I166" s="6" t="str"/>
      <x:c r="J166" s="6" t="str"/>
      <x:c r="K166" s="6" t="str"/>
      <x:c r="L166" s="6" t="str"/>
      <x:c r="M166" s="6" t="str"/>
      <x:c r="N166" s="6" t="n">
        <x:f>SUM(J166:M166)</x:f>
        <x:v>0</x:v>
      </x:c>
      <x:c r="O166" s="6" t="str">
        <x:f>IF(I166="","",I166*N166)</x:f>
      </x:c>
      <x:c r="P166" s="6" t="str">
        <x:f>IF(COUNTA(I166:M166)=0,"À remplir",IF(COUNT(J166:M166)&lt;F166,"Séries incomplètes",IF(MIN(J166:INDEX(J166:M166,1,F166))&gt;=H166,"Augmenter poids","Conserver")))</x:f>
        <x:v>Séries incomplètes</x:v>
      </x:c>
      <x:c r="Q166" s="6" t="str"/>
    </x:row>
    <x:row r="167" ht="15" hidden="0" customHeight="1">
      <x:c r="A167" s="6" t="str">
        <x:v>2026-06-19</x:v>
      </x:c>
      <x:c r="B167" s="6" t="str">
        <x:v>Semaine 8</x:v>
      </x:c>
      <x:c r="C167" s="6" t="str">
        <x:v>Vendredi</x:v>
      </x:c>
      <x:c r="D167" s="6" t="str">
        <x:v>Haut du corps</x:v>
      </x:c>
      <x:c r="E167" s="6" t="str">
        <x:v>Rowing haltère</x:v>
      </x:c>
      <x:c r="F167" s="6" t="n">
        <x:v>3</x:v>
      </x:c>
      <x:c r="G167" s="6" t="str">
        <x:v>8–12</x:v>
      </x:c>
      <x:c r="H167" s="6" t="n">
        <x:v>12</x:v>
      </x:c>
      <x:c r="I167" s="6" t="str"/>
      <x:c r="J167" s="6" t="str"/>
      <x:c r="K167" s="6" t="str"/>
      <x:c r="L167" s="6" t="str"/>
      <x:c r="M167" s="6" t="str"/>
      <x:c r="N167" s="6" t="n">
        <x:f>SUM(J167:M167)</x:f>
        <x:v>0</x:v>
      </x:c>
      <x:c r="O167" s="6" t="str">
        <x:f>IF(I167="","",I167*N167)</x:f>
      </x:c>
      <x:c r="P167" s="6" t="str">
        <x:f>IF(COUNTA(I167:M167)=0,"À remplir",IF(COUNT(J167:M167)&lt;F167,"Séries incomplètes",IF(MIN(J167:INDEX(J167:M167,1,F167))&gt;=H167,"Augmenter poids","Conserver")))</x:f>
        <x:v>Séries incomplètes</x:v>
      </x:c>
      <x:c r="Q167" s="6" t="str"/>
    </x:row>
    <x:row r="168" ht="15" hidden="0" customHeight="1">
      <x:c r="A168" s="6" t="str">
        <x:v>2026-06-19</x:v>
      </x:c>
      <x:c r="B168" s="6" t="str">
        <x:v>Semaine 8</x:v>
      </x:c>
      <x:c r="C168" s="6" t="str">
        <x:v>Vendredi</x:v>
      </x:c>
      <x:c r="D168" s="6" t="str">
        <x:v>Haut du corps</x:v>
      </x:c>
      <x:c r="E168" s="6" t="str">
        <x:v>Développé décliné haltères</x:v>
      </x:c>
      <x:c r="F168" s="6" t="n">
        <x:v>3</x:v>
      </x:c>
      <x:c r="G168" s="6" t="str">
        <x:v>8–12</x:v>
      </x:c>
      <x:c r="H168" s="6" t="n">
        <x:v>12</x:v>
      </x:c>
      <x:c r="I168" s="6" t="str"/>
      <x:c r="J168" s="6" t="str"/>
      <x:c r="K168" s="6" t="str"/>
      <x:c r="L168" s="6" t="str"/>
      <x:c r="M168" s="6" t="str"/>
      <x:c r="N168" s="6" t="n">
        <x:f>SUM(J168:M168)</x:f>
        <x:v>0</x:v>
      </x:c>
      <x:c r="O168" s="6" t="str">
        <x:f>IF(I168="","",I168*N168)</x:f>
      </x:c>
      <x:c r="P168" s="6" t="str">
        <x:f>IF(COUNTA(I168:M168)=0,"À remplir",IF(COUNT(J168:M168)&lt;F168,"Séries incomplètes",IF(MIN(J168:INDEX(J168:M168,1,F168))&gt;=H168,"Augmenter poids","Conserver")))</x:f>
        <x:v>Séries incomplètes</x:v>
      </x:c>
      <x:c r="Q168" s="6" t="str"/>
    </x:row>
    <x:row r="169" ht="15" hidden="0" customHeight="1">
      <x:c r="A169" s="6" t="str">
        <x:v>2026-06-19</x:v>
      </x:c>
      <x:c r="B169" s="6" t="str">
        <x:v>Semaine 8</x:v>
      </x:c>
      <x:c r="C169" s="6" t="str">
        <x:v>Vendredi</x:v>
      </x:c>
      <x:c r="D169" s="6" t="str">
        <x:v>Haut du corps</x:v>
      </x:c>
      <x:c r="E169" s="6" t="str">
        <x:v>Développé militaire haltères</x:v>
      </x:c>
      <x:c r="F169" s="6" t="n">
        <x:v>3</x:v>
      </x:c>
      <x:c r="G169" s="6" t="str">
        <x:v>8–12</x:v>
      </x:c>
      <x:c r="H169" s="6" t="n">
        <x:v>12</x:v>
      </x:c>
      <x:c r="I169" s="6" t="str"/>
      <x:c r="J169" s="6" t="str"/>
      <x:c r="K169" s="6" t="str"/>
      <x:c r="L169" s="6" t="str"/>
      <x:c r="M169" s="6" t="str"/>
      <x:c r="N169" s="6" t="n">
        <x:f>SUM(J169:M169)</x:f>
        <x:v>0</x:v>
      </x:c>
      <x:c r="O169" s="6" t="str">
        <x:f>IF(I169="","",I169*N169)</x:f>
      </x:c>
      <x:c r="P169" s="6" t="str">
        <x:f>IF(COUNTA(I169:M169)=0,"À remplir",IF(COUNT(J169:M169)&lt;F169,"Séries incomplètes",IF(MIN(J169:INDEX(J169:M169,1,F169))&gt;=H169,"Augmenter poids","Conserver")))</x:f>
        <x:v>Séries incomplètes</x:v>
      </x:c>
      <x:c r="Q169" s="6" t="str"/>
    </x:row>
    <x:row r="170" ht="15" hidden="0" customHeight="1">
      <x:c r="A170" s="6" t="str">
        <x:v>2026-06-19</x:v>
      </x:c>
      <x:c r="B170" s="6" t="str">
        <x:v>Semaine 8</x:v>
      </x:c>
      <x:c r="C170" s="6" t="str">
        <x:v>Vendredi</x:v>
      </x:c>
      <x:c r="D170" s="6" t="str">
        <x:v>Haut du corps</x:v>
      </x:c>
      <x:c r="E170" s="6" t="str">
        <x:v>Élévations latérales inclinées</x:v>
      </x:c>
      <x:c r="F170" s="6" t="n">
        <x:v>3</x:v>
      </x:c>
      <x:c r="G170" s="6" t="str">
        <x:v>12–15</x:v>
      </x:c>
      <x:c r="H170" s="6" t="n">
        <x:v>15</x:v>
      </x:c>
      <x:c r="I170" s="6" t="str"/>
      <x:c r="J170" s="6" t="str"/>
      <x:c r="K170" s="6" t="str"/>
      <x:c r="L170" s="6" t="str"/>
      <x:c r="M170" s="6" t="str"/>
      <x:c r="N170" s="6" t="n">
        <x:f>SUM(J170:M170)</x:f>
        <x:v>0</x:v>
      </x:c>
      <x:c r="O170" s="6" t="str">
        <x:f>IF(I170="","",I170*N170)</x:f>
      </x:c>
      <x:c r="P170" s="6" t="str">
        <x:f>IF(COUNTA(I170:M170)=0,"À remplir",IF(COUNT(J170:M170)&lt;F170,"Séries incomplètes",IF(MIN(J170:INDEX(J170:M170,1,F170))&gt;=H170,"Augmenter poids","Conserver")))</x:f>
        <x:v>Séries incomplètes</x:v>
      </x:c>
      <x:c r="Q170" s="6" t="str"/>
    </x:row>
    <x:row r="171" ht="15" hidden="0" customHeight="1">
      <x:c r="A171" s="6" t="str">
        <x:v>2026-06-19</x:v>
      </x:c>
      <x:c r="B171" s="6" t="str">
        <x:v>Semaine 8</x:v>
      </x:c>
      <x:c r="C171" s="6" t="str">
        <x:v>Vendredi</x:v>
      </x:c>
      <x:c r="D171" s="6" t="str">
        <x:v>Haut du corps</x:v>
      </x:c>
      <x:c r="E171" s="6" t="str">
        <x:v>Curl incliné haltères</x:v>
      </x:c>
      <x:c r="F171" s="6" t="n">
        <x:v>2</x:v>
      </x:c>
      <x:c r="G171" s="6" t="str">
        <x:v>10–12</x:v>
      </x:c>
      <x:c r="H171" s="6" t="n">
        <x:v>12</x:v>
      </x:c>
      <x:c r="I171" s="6" t="str"/>
      <x:c r="J171" s="6" t="str"/>
      <x:c r="K171" s="6" t="str"/>
      <x:c r="L171" s="6" t="str"/>
      <x:c r="M171" s="6" t="str"/>
      <x:c r="N171" s="6" t="n">
        <x:f>SUM(J171:M171)</x:f>
        <x:v>0</x:v>
      </x:c>
      <x:c r="O171" s="6" t="str">
        <x:f>IF(I171="","",I171*N171)</x:f>
      </x:c>
      <x:c r="P171" s="6" t="str">
        <x:f>IF(COUNTA(I171:M171)=0,"À remplir",IF(COUNT(J171:M171)&lt;F171,"Séries incomplètes",IF(MIN(J171:INDEX(J171:M171,1,F171))&gt;=H171,"Augmenter poids","Conserver")))</x:f>
        <x:v>Séries incomplètes</x:v>
      </x:c>
      <x:c r="Q171" s="6" t="str"/>
    </x:row>
    <x:row r="172" ht="15" hidden="0" customHeight="1">
      <x:c r="A172" s="6" t="str">
        <x:v>2026-06-19</x:v>
      </x:c>
      <x:c r="B172" s="6" t="str">
        <x:v>Semaine 8</x:v>
      </x:c>
      <x:c r="C172" s="6" t="str">
        <x:v>Vendredi</x:v>
      </x:c>
      <x:c r="D172" s="6" t="str">
        <x:v>Haut du corps</x:v>
      </x:c>
      <x:c r="E172" s="6" t="str">
        <x:v>Extension triceps au front haltère</x:v>
      </x:c>
      <x:c r="F172" s="6" t="n">
        <x:v>2</x:v>
      </x:c>
      <x:c r="G172" s="6" t="str">
        <x:v>10–15</x:v>
      </x:c>
      <x:c r="H172" s="6" t="n">
        <x:v>15</x:v>
      </x:c>
      <x:c r="I172" s="6" t="str"/>
      <x:c r="J172" s="6" t="str"/>
      <x:c r="K172" s="6" t="str"/>
      <x:c r="L172" s="6" t="str"/>
      <x:c r="M172" s="6" t="str"/>
      <x:c r="N172" s="6" t="n">
        <x:f>SUM(J172:M172)</x:f>
        <x:v>0</x:v>
      </x:c>
      <x:c r="O172" s="6" t="str">
        <x:f>IF(I172="","",I172*N172)</x:f>
      </x:c>
      <x:c r="P172" s="6" t="str">
        <x:f>IF(COUNTA(I172:M172)=0,"À remplir",IF(COUNT(J172:M172)&lt;F172,"Séries incomplètes",IF(MIN(J172:INDEX(J172:M172,1,F172))&gt;=H172,"Augmenter poids","Conserver")))</x:f>
        <x:v>Séries incomplètes</x:v>
      </x:c>
      <x:c r="Q172" s="6" t="str"/>
    </x:row>
    <x:row r="173" ht="15" hidden="0" customHeight="1">
      <x:c r="A173" s="6" t="str">
        <x:v>2026-06-20</x:v>
      </x:c>
      <x:c r="B173" s="6" t="str">
        <x:v>Semaine 8</x:v>
      </x:c>
      <x:c r="C173" s="6" t="str">
        <x:v>Samedi</x:v>
      </x:c>
      <x:c r="D173" s="6" t="str">
        <x:v>Bras + épaules</x:v>
      </x:c>
      <x:c r="E173" s="6" t="str">
        <x:v>Élévations latérales inclinées</x:v>
      </x:c>
      <x:c r="F173" s="6" t="n">
        <x:v>4</x:v>
      </x:c>
      <x:c r="G173" s="6" t="str">
        <x:v>12–20</x:v>
      </x:c>
      <x:c r="H173" s="6" t="n">
        <x:v>20</x:v>
      </x:c>
      <x:c r="I173" s="6" t="str"/>
      <x:c r="J173" s="6" t="str"/>
      <x:c r="K173" s="6" t="str"/>
      <x:c r="L173" s="6" t="str"/>
      <x:c r="M173" s="6" t="str"/>
      <x:c r="N173" s="6" t="n">
        <x:f>SUM(J173:M173)</x:f>
        <x:v>0</x:v>
      </x:c>
      <x:c r="O173" s="6" t="str">
        <x:f>IF(I173="","",I173*N173)</x:f>
      </x:c>
      <x:c r="P173" s="6" t="str">
        <x:f>IF(COUNTA(I173:M173)=0,"À remplir",IF(COUNT(J173:M173)&lt;F173,"Séries incomplètes",IF(MIN(J173:INDEX(J173:M173,1,F173))&gt;=H173,"Augmenter poids","Conserver")))</x:f>
        <x:v>Séries incomplètes</x:v>
      </x:c>
      <x:c r="Q173" s="6" t="str"/>
    </x:row>
    <x:row r="174" ht="15" hidden="0" customHeight="1">
      <x:c r="A174" s="6" t="str">
        <x:v>2026-06-20</x:v>
      </x:c>
      <x:c r="B174" s="6" t="str">
        <x:v>Semaine 8</x:v>
      </x:c>
      <x:c r="C174" s="6" t="str">
        <x:v>Samedi</x:v>
      </x:c>
      <x:c r="D174" s="6" t="str">
        <x:v>Bras + épaules</x:v>
      </x:c>
      <x:c r="E174" s="6" t="str">
        <x:v>Pec deck inversé / oiseau haltères</x:v>
      </x:c>
      <x:c r="F174" s="6" t="n">
        <x:v>3</x:v>
      </x:c>
      <x:c r="G174" s="6" t="str">
        <x:v>12–15</x:v>
      </x:c>
      <x:c r="H174" s="6" t="n">
        <x:v>15</x:v>
      </x:c>
      <x:c r="I174" s="6" t="str"/>
      <x:c r="J174" s="6" t="str"/>
      <x:c r="K174" s="6" t="str"/>
      <x:c r="L174" s="6" t="str"/>
      <x:c r="M174" s="6" t="str"/>
      <x:c r="N174" s="6" t="n">
        <x:f>SUM(J174:M174)</x:f>
        <x:v>0</x:v>
      </x:c>
      <x:c r="O174" s="6" t="str">
        <x:f>IF(I174="","",I174*N174)</x:f>
      </x:c>
      <x:c r="P174" s="6" t="str">
        <x:f>IF(COUNTA(I174:M174)=0,"À remplir",IF(COUNT(J174:M174)&lt;F174,"Séries incomplètes",IF(MIN(J174:INDEX(J174:M174,1,F174))&gt;=H174,"Augmenter poids","Conserver")))</x:f>
        <x:v>Séries incomplètes</x:v>
      </x:c>
      <x:c r="Q174" s="6" t="str"/>
    </x:row>
    <x:row r="175" ht="15" hidden="0" customHeight="1">
      <x:c r="A175" s="6" t="str">
        <x:v>2026-06-20</x:v>
      </x:c>
      <x:c r="B175" s="6" t="str">
        <x:v>Semaine 8</x:v>
      </x:c>
      <x:c r="C175" s="6" t="str">
        <x:v>Samedi</x:v>
      </x:c>
      <x:c r="D175" s="6" t="str">
        <x:v>Bras + épaules</x:v>
      </x:c>
      <x:c r="E175" s="6" t="str">
        <x:v>Spider curl haltères</x:v>
      </x:c>
      <x:c r="F175" s="6" t="n">
        <x:v>3</x:v>
      </x:c>
      <x:c r="G175" s="6" t="str">
        <x:v>10–12</x:v>
      </x:c>
      <x:c r="H175" s="6" t="n">
        <x:v>12</x:v>
      </x:c>
      <x:c r="I175" s="6" t="str"/>
      <x:c r="J175" s="6" t="str"/>
      <x:c r="K175" s="6" t="str"/>
      <x:c r="L175" s="6" t="str"/>
      <x:c r="M175" s="6" t="str"/>
      <x:c r="N175" s="6" t="n">
        <x:f>SUM(J175:M175)</x:f>
        <x:v>0</x:v>
      </x:c>
      <x:c r="O175" s="6" t="str">
        <x:f>IF(I175="","",I175*N175)</x:f>
      </x:c>
      <x:c r="P175" s="6" t="str">
        <x:f>IF(COUNTA(I175:M175)=0,"À remplir",IF(COUNT(J175:M175)&lt;F175,"Séries incomplètes",IF(MIN(J175:INDEX(J175:M175,1,F175))&gt;=H175,"Augmenter poids","Conserver")))</x:f>
        <x:v>Séries incomplètes</x:v>
      </x:c>
      <x:c r="Q175" s="6" t="str"/>
    </x:row>
    <x:row r="176" ht="15" hidden="0" customHeight="1">
      <x:c r="A176" s="6" t="str">
        <x:v>2026-06-20</x:v>
      </x:c>
      <x:c r="B176" s="6" t="str">
        <x:v>Semaine 8</x:v>
      </x:c>
      <x:c r="C176" s="6" t="str">
        <x:v>Samedi</x:v>
      </x:c>
      <x:c r="D176" s="6" t="str">
        <x:v>Bras + épaules</x:v>
      </x:c>
      <x:c r="E176" s="6" t="str">
        <x:v>Curl incliné haltères</x:v>
      </x:c>
      <x:c r="F176" s="6" t="n">
        <x:v>3</x:v>
      </x:c>
      <x:c r="G176" s="6" t="str">
        <x:v>10–12</x:v>
      </x:c>
      <x:c r="H176" s="6" t="n">
        <x:v>12</x:v>
      </x:c>
      <x:c r="I176" s="6" t="str"/>
      <x:c r="J176" s="6" t="str"/>
      <x:c r="K176" s="6" t="str"/>
      <x:c r="L176" s="6" t="str"/>
      <x:c r="M176" s="6" t="str"/>
      <x:c r="N176" s="6" t="n">
        <x:f>SUM(J176:M176)</x:f>
        <x:v>0</x:v>
      </x:c>
      <x:c r="O176" s="6" t="str">
        <x:f>IF(I176="","",I176*N176)</x:f>
      </x:c>
      <x:c r="P176" s="6" t="str">
        <x:f>IF(COUNTA(I176:M176)=0,"À remplir",IF(COUNT(J176:M176)&lt;F176,"Séries incomplètes",IF(MIN(J176:INDEX(J176:M176,1,F176))&gt;=H176,"Augmenter poids","Conserver")))</x:f>
        <x:v>Séries incomplètes</x:v>
      </x:c>
      <x:c r="Q176" s="6" t="str"/>
    </x:row>
    <x:row r="177" ht="15" hidden="0" customHeight="1">
      <x:c r="A177" s="6" t="str">
        <x:v>2026-06-20</x:v>
      </x:c>
      <x:c r="B177" s="6" t="str">
        <x:v>Semaine 8</x:v>
      </x:c>
      <x:c r="C177" s="6" t="str">
        <x:v>Samedi</x:v>
      </x:c>
      <x:c r="D177" s="6" t="str">
        <x:v>Bras + épaules</x:v>
      </x:c>
      <x:c r="E177" s="6" t="str">
        <x:v>Extension triceps au front haltère</x:v>
      </x:c>
      <x:c r="F177" s="6" t="n">
        <x:v>3</x:v>
      </x:c>
      <x:c r="G177" s="6" t="str">
        <x:v>10–15</x:v>
      </x:c>
      <x:c r="H177" s="6" t="n">
        <x:v>15</x:v>
      </x:c>
      <x:c r="I177" s="6" t="str"/>
      <x:c r="J177" s="6" t="str"/>
      <x:c r="K177" s="6" t="str"/>
      <x:c r="L177" s="6" t="str"/>
      <x:c r="M177" s="6" t="str"/>
      <x:c r="N177" s="6" t="n">
        <x:f>SUM(J177:M177)</x:f>
        <x:v>0</x:v>
      </x:c>
      <x:c r="O177" s="6" t="str">
        <x:f>IF(I177="","",I177*N177)</x:f>
      </x:c>
      <x:c r="P177" s="6" t="str">
        <x:f>IF(COUNTA(I177:M177)=0,"À remplir",IF(COUNT(J177:M177)&lt;F177,"Séries incomplètes",IF(MIN(J177:INDEX(J177:M177,1,F177))&gt;=H177,"Augmenter poids","Conserver")))</x:f>
        <x:v>Séries incomplètes</x:v>
      </x:c>
      <x:c r="Q177" s="6" t="str"/>
    </x:row>
  </x:sheetData>
  <x:conditionalFormatting sqref="P2:P177">
    <x:cfRule type="containsText" dxfId="0" priority="1" operator="containsText" text="Augmenter"/>
    <x:cfRule type="containsText" dxfId="1" priority="2" operator="containsText" text="Conserver"/>
    <x:cfRule type="containsText" dxfId="2" priority="3" operator="containsText" text="Séries incomplètes"/>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22" hidden="0" customWidth="1"/>
    <x:col min="3" max="3" width="18" hidden="0" customWidth="1"/>
    <x:col min="4" max="4" width="54" hidden="0" customWidth="1"/>
    <x:col min="5" max="5" width="48" hidden="0" customWidth="1"/>
  </x:cols>
  <x:sheetData>
    <x:row r="1" ht="15" hidden="0" customHeight="1">
      <x:c r="A1" s="3" t="str">
        <x:v>Exercice</x:v>
      </x:c>
      <x:c r="B1" s="3" t="str">
        <x:v>Groupe musculaire</x:v>
      </x:c>
      <x:c r="C1" s="3" t="str">
        <x:v>Photo / démo</x:v>
      </x:c>
      <x:c r="D1" s="3" t="str">
        <x:v>URL source</x:v>
      </x:c>
      <x:c r="E1" s="3" t="str">
        <x:v>Notes techniques</x:v>
      </x:c>
    </x:row>
    <x:row r="2" ht="15" hidden="0" customHeight="1">
      <x:c r="A2" s="6" t="str">
        <x:v>Développé décliné haltères</x:v>
      </x:c>
      <x:c r="B2" s="6" t="str">
        <x:v>Pectoraux / triceps</x:v>
      </x:c>
      <x:c r="C2" s="6" t="e">
        <x:f>IMAGE(D2)</x:f>
      </x:c>
      <x:c r="D2" s="6" t="str">
        <x:v>https://www.strengthlog.com/decline-dumbbell-bench-press/</x:v>
      </x:c>
      <x:c r="E2" s="6" t="str">
        <x:v>Décliné, amplitude contrôlée. Ne pas transformer en demi-reps.</x:v>
      </x:c>
    </x:row>
    <x:row r="3" ht="15" hidden="0" customHeight="1">
      <x:c r="A3" s="6" t="str">
        <x:v>Développé militaire haltères</x:v>
      </x:c>
      <x:c r="B3" s="6" t="str">
        <x:v>Épaules / triceps</x:v>
      </x:c>
      <x:c r="C3" s="6" t="e">
        <x:f>IMAGE(D3)</x:f>
      </x:c>
      <x:c r="D3" s="6" t="str">
        <x:v>https://www.strengthlog.com/dumbbell-shoulder-press/</x:v>
      </x:c>
      <x:c r="E3" s="6" t="str">
        <x:v>Gainage fort, éviter de cambrer.</x:v>
      </x:c>
    </x:row>
    <x:row r="4" ht="15" hidden="0" customHeight="1">
      <x:c r="A4" s="6" t="str">
        <x:v>Élévations latérales inclinées</x:v>
      </x:c>
      <x:c r="B4" s="6" t="str">
        <x:v>Deltoïde moyen</x:v>
      </x:c>
      <x:c r="C4" s="6" t="e">
        <x:f>IMAGE(D4)</x:f>
      </x:c>
      <x:c r="D4" s="6" t="str">
        <x:v>https://www.strengthlog.com/dumbbell-lateral-raise/</x:v>
      </x:c>
      <x:c r="E4" s="6" t="str">
        <x:v>Léger, strict, pas d’élan.</x:v>
      </x:c>
    </x:row>
    <x:row r="5" ht="15" hidden="0" customHeight="1">
      <x:c r="A5" s="6" t="str">
        <x:v>Extension triceps au front haltère</x:v>
      </x:c>
      <x:c r="B5" s="6" t="str">
        <x:v>Triceps</x:v>
      </x:c>
      <x:c r="C5" s="6" t="e">
        <x:f>IMAGE(D5)</x:f>
      </x:c>
      <x:c r="D5" s="6" t="str">
        <x:v>https://www.strengthlog.com/dumbbell-lying-triceps-extension/</x:v>
      </x:c>
      <x:c r="E5" s="6" t="str">
        <x:v>Coudes stables, contrôle de l’étirement.</x:v>
      </x:c>
    </x:row>
    <x:row r="6" ht="15" hidden="0" customHeight="1">
      <x:c r="A6" s="6" t="str">
        <x:v>Rowing haltère</x:v>
      </x:c>
      <x:c r="B6" s="6" t="str">
        <x:v>Dos / biceps</x:v>
      </x:c>
      <x:c r="C6" s="6" t="e">
        <x:f>IMAGE(D6)</x:f>
      </x:c>
      <x:c r="D6" s="6" t="str">
        <x:v>https://www.strengthlog.com/dumbbell-row/</x:v>
      </x:c>
      <x:c r="E6" s="6" t="str">
        <x:v>Priorité progression. Tirer avec le coude, pas avec la main.</x:v>
      </x:c>
    </x:row>
    <x:row r="7" ht="15" hidden="0" customHeight="1">
      <x:c r="A7" s="6" t="str">
        <x:v>Pec deck inversé / oiseau haltères</x:v>
      </x:c>
      <x:c r="B7" s="6" t="str">
        <x:v>Deltoïde postérieur / haut du dos</x:v>
      </x:c>
      <x:c r="C7" s="6" t="e">
        <x:f>IMAGE(D7)</x:f>
      </x:c>
      <x:c r="D7" s="6" t="str">
        <x:v>https://www.strengthlog.com/dumbbell-rear-delt-row/</x:v>
      </x:c>
      <x:c r="E7" s="6" t="str">
        <x:v>Léger, focus arrière d’épaule.</x:v>
      </x:c>
    </x:row>
    <x:row r="8" ht="15" hidden="0" customHeight="1">
      <x:c r="A8" s="6" t="str">
        <x:v>Curl incliné haltères</x:v>
      </x:c>
      <x:c r="B8" s="6" t="str">
        <x:v>Biceps</x:v>
      </x:c>
      <x:c r="C8" s="6" t="e">
        <x:f>IMAGE(D8)</x:f>
      </x:c>
      <x:c r="D8" s="6" t="str">
        <x:v>https://www.strengthlog.com/incline-dumbbell-curl/</x:v>
      </x:c>
      <x:c r="E8" s="6" t="str">
        <x:v>Bras en arrière, étirement contrôlé.</x:v>
      </x:c>
    </x:row>
    <x:row r="9" ht="15" hidden="0" customHeight="1">
      <x:c r="A9" s="6" t="str">
        <x:v>Spider curl haltères</x:v>
      </x:c>
      <x:c r="B9" s="6" t="str">
        <x:v>Biceps</x:v>
      </x:c>
      <x:c r="C9" s="6" t="e">
        <x:f>IMAGE(D9)</x:f>
      </x:c>
      <x:c r="D9" s="6" t="str">
        <x:v>https://www.strengthlog.com/spider-curl/</x:v>
      </x:c>
      <x:c r="E9" s="6" t="str">
        <x:v>Banc incliné, pas d’élan.</x:v>
      </x:c>
    </x:row>
    <x:row r="10" ht="15" hidden="0" customHeight="1">
      <x:c r="A10" s="6" t="str">
        <x:v>Goblet squat</x:v>
      </x:c>
      <x:c r="B10" s="6" t="str">
        <x:v>Quadriceps / fessiers</x:v>
      </x:c>
      <x:c r="C10" s="6" t="e">
        <x:f>IMAGE(D10)</x:f>
      </x:c>
      <x:c r="D10" s="6" t="str">
        <x:v>https://www.strengthlog.com/goblet-squat/</x:v>
      </x:c>
      <x:c r="E10" s="6" t="str">
        <x:v>Descente lente, pause possible en bas.</x:v>
      </x:c>
    </x:row>
    <x:row r="11" ht="15" hidden="0" customHeight="1">
      <x:c r="A11" s="6" t="str">
        <x:v>Fentes haltères</x:v>
      </x:c>
      <x:c r="B11" s="6" t="str">
        <x:v>Quadriceps / fessiers</x:v>
      </x:c>
      <x:c r="C11" s="6" t="e">
        <x:f>IMAGE(D11)</x:f>
      </x:c>
      <x:c r="D11" s="6" t="str">
        <x:v>https://www.strengthlog.com/dumbbell-lunge/</x:v>
      </x:c>
      <x:c r="E11" s="6" t="str">
        <x:v>Contrôle, buste stable, reps par jambe.</x:v>
      </x:c>
    </x:row>
    <x:row r="12" ht="15" hidden="0" customHeight="1">
      <x:c r="A12" s="6" t="str">
        <x:v>Soulevé de terre jambes tendues haltères</x:v>
      </x:c>
      <x:c r="B12" s="6" t="str">
        <x:v>Ischios / fessiers</x:v>
      </x:c>
      <x:c r="C12" s="6" t="e">
        <x:f>IMAGE(D12)</x:f>
      </x:c>
      <x:c r="D12" s="6" t="str">
        <x:v>https://www.strengthlog.com/dumbbell-romanian-deadlift/</x:v>
      </x:c>
      <x:c r="E12" s="6" t="str">
        <x:v>Optionnel mais très utile pour compléter les jambes.</x:v>
      </x:c>
    </x:row>
    <x:row r="13" ht="15" hidden="0" customHeight="1">
      <x:c r="A13" s="6" t="str">
        <x:v>Crunch</x:v>
      </x:c>
      <x:c r="B13" s="6" t="str">
        <x:v>Abdominaux</x:v>
      </x:c>
      <x:c r="C13" s="6" t="e">
        <x:f>IMAGE(D13)</x:f>
      </x:c>
      <x:c r="D13" s="6" t="str">
        <x:v>https://www.strengthlog.com/crunch/</x:v>
      </x:c>
      <x:c r="E13" s="6" t="str">
        <x:v>Option fin de séance, contraction volontaire.</x:v>
      </x:c>
    </x:row>
    <x:row r="14" ht="15" hidden="0" customHeight="1">
      <x:c r="A14" s="6" t="str">
        <x:v>Relevés de jambes</x:v>
      </x:c>
      <x:c r="B14" s="6" t="str">
        <x:v>Abdominaux</x:v>
      </x:c>
      <x:c r="C14" s="6" t="e">
        <x:f>IMAGE(D14)</x:f>
      </x:c>
      <x:c r="D14" s="6" t="str">
        <x:v>https://www.strengthlog.com/lying-leg-raise/</x:v>
      </x:c>
      <x:c r="E14" s="6" t="str">
        <x:v>Option fin de séance, bassin contrôlé.</x:v>
      </x:c>
    </x:row>
    <x:row r="15" ht="15" hidden="0" customHeight="1">
      <x:c r="A15" s="6" t="str">
        <x:v>Gainage</x:v>
      </x:c>
      <x:c r="B15" s="6" t="str">
        <x:v>Sangle abdominale</x:v>
      </x:c>
      <x:c r="C15" s="6" t="e">
        <x:f>IMAGE(D15)</x:f>
      </x:c>
      <x:c r="D15" s="6" t="str">
        <x:v>https://www.strengthlog.com/plank/</x:v>
      </x:c>
      <x:c r="E15" s="6" t="str">
        <x:v>Option fin de séance, ne pas cambrer.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72" hidden="0" customWidth="1"/>
  </x:cols>
  <x:sheetData>
    <x:row r="1" ht="15" hidden="0" customHeight="1">
      <x:c r="A1" s="3" t="str">
        <x:v>Paramètre</x:v>
      </x:c>
      <x:c r="B1" s="3" t="str">
        <x:v>Valeur</x:v>
      </x:c>
    </x:row>
    <x:row r="2" ht="15" hidden="0" customHeight="1">
      <x:c r="A2" s="8" t="str">
        <x:v>Règle progression</x:v>
      </x:c>
      <x:c r="B2" s="8" t="str">
        <x:v>Augmenter la charge quand toutes les séries atteignent l’objectif reps.</x:v>
      </x:c>
    </x:row>
    <x:row r="3" ht="15" hidden="0" customHeight="1">
      <x:c r="A3" s="8" t="str">
        <x:v>Tempo jambes</x:v>
      </x:c>
      <x:c r="B3" s="8" t="str">
        <x:v>3 secondes descente + contrôle complet</x:v>
      </x:c>
    </x:row>
    <x:row r="4" ht="15" hidden="0" customHeight="1">
      <x:c r="A4" s="8" t="str">
        <x:v>Repos polyarticulaires</x:v>
      </x:c>
      <x:c r="B4" s="8" t="str">
        <x:v>90–120 secondes</x:v>
      </x:c>
    </x:row>
    <x:row r="5" ht="15" hidden="0" customHeight="1">
      <x:c r="A5" s="8" t="str">
        <x:v>Repos isolation</x:v>
      </x:c>
      <x:c r="B5" s="8" t="str">
        <x:v>60–75 secondes</x:v>
      </x:c>
    </x:row>
    <x:row r="6" ht="15" hidden="0" customHeight="1">
      <x:c r="A6" s="8" t="str">
        <x:v>Abdos option</x:v>
      </x:c>
      <x:c r="B6" s="8" t="str">
        <x:v>2–3 fois/semaine en fin de séance, 5–10 min</x:v>
      </x:c>
    </x:row>
    <x:row r="7" ht="15" hidden="0" customHeight="1">
      <x:c r="A7" s="8" t="str">
        <x:v>Début cycle</x:v>
      </x:c>
      <x:c r="B7" s="8" t="str">
        <x:v>2026-04-27</x:v>
      </x:c>
    </x:row>
    <x:row r="8" ht="15" hidden="0" customHeight="1">
      <x:c r="A8" s="8" t="str">
        <x:v>Durée cycle</x:v>
      </x:c>
      <x:c r="B8" s="8" t="str">
        <x:v>8 semaines</x:v>
      </x:c>
    </x:row>
  </x:sheetData>
  <x:pageMargins left="0.7" right="0.7" top="0.75" bottom="0.75" header="0.3" footer="0.3"/>
</x:worksheet>
</file>